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Features" sheetId="2" state="visible" r:id="rId2"/>
    <sheet name="User Stories" sheetId="3" state="visible" r:id="rId3"/>
    <sheet name="Tasks" sheetId="4" state="visible" r:id="rId4"/>
    <sheet name="Team Contribu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7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E5E7E9"/>
      <sz val="10"/>
    </font>
    <font>
      <name val="Segoe UI"/>
      <b val="1"/>
      <color rgb="00595959"/>
      <sz val="9"/>
    </font>
    <font>
      <name val="Segoe UI"/>
      <b val="1"/>
      <color rgb="001F4E78"/>
      <sz val="18"/>
    </font>
    <font>
      <name val="Segoe UI"/>
      <b val="1"/>
      <color rgb="001F4E78"/>
      <sz val="11"/>
    </font>
    <font>
      <name val="Segoe UI"/>
      <b val="1"/>
      <color rgb="001F4E78"/>
      <sz val="24"/>
    </font>
    <font>
      <name val="Segoe UI"/>
      <b val="1"/>
      <color rgb="001F4E78"/>
      <sz val="12"/>
    </font>
    <font>
      <name val="Segoe UI"/>
      <b val="1"/>
      <sz val="11"/>
    </font>
    <font>
      <name val="Segoe UI"/>
      <sz val="11"/>
    </font>
    <font>
      <name val="Segoe UI"/>
      <b val="1"/>
      <color rgb="00FFFFFF"/>
      <sz val="14"/>
    </font>
    <font>
      <name val="Segoe UI"/>
      <b val="1"/>
      <color rgb="00FFFFFF"/>
      <sz val="11"/>
    </font>
    <font>
      <name val="Segoe UI"/>
      <b val="1"/>
      <color rgb="00375623"/>
      <sz val="11"/>
    </font>
    <font>
      <name val="Segoe UI"/>
      <color rgb="001E8449"/>
      <sz val="11"/>
    </font>
    <font>
      <name val="Segoe UI"/>
      <b val="1"/>
      <color rgb="0078281F"/>
      <sz val="11"/>
    </font>
    <font>
      <name val="Segoe UI"/>
      <b val="1"/>
      <color rgb="007E5109"/>
      <sz val="11"/>
    </font>
    <font>
      <name val="Segoe UI"/>
      <b val="1"/>
      <color rgb="007F6000"/>
      <sz val="11"/>
    </font>
  </fonts>
  <fills count="13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4F7"/>
        <bgColor rgb="00F2F4F7"/>
      </patternFill>
    </fill>
    <fill>
      <patternFill patternType="solid">
        <fgColor rgb="00EBF5FB"/>
        <bgColor rgb="00EBF5FB"/>
      </patternFill>
    </fill>
    <fill>
      <patternFill patternType="solid">
        <fgColor rgb="00EAECEE"/>
        <bgColor rgb="00EAECEE"/>
      </patternFill>
    </fill>
    <fill>
      <patternFill patternType="solid">
        <fgColor rgb="00E2EFDA"/>
        <bgColor rgb="00E2EFDA"/>
      </patternFill>
    </fill>
    <fill>
      <patternFill patternType="solid">
        <fgColor rgb="00D5F5E3"/>
        <bgColor rgb="00D5F5E3"/>
      </patternFill>
    </fill>
    <fill>
      <patternFill patternType="solid">
        <fgColor rgb="00FADBD8"/>
        <bgColor rgb="00FADBD8"/>
      </patternFill>
    </fill>
    <fill>
      <patternFill patternType="solid">
        <fgColor rgb="00F9FBFD"/>
        <bgColor rgb="00F9FBFD"/>
      </patternFill>
    </fill>
    <fill>
      <patternFill patternType="solid">
        <fgColor rgb="00FCF3CF"/>
        <bgColor rgb="00FCF3CF"/>
      </patternFill>
    </fill>
    <fill>
      <patternFill patternType="solid">
        <fgColor rgb="00FFF2CC"/>
        <bgColor rgb="00FFF2CC"/>
      </patternFill>
    </fill>
    <fill>
      <patternFill patternType="solid">
        <fgColor rgb="00DDEBF7"/>
        <bgColor rgb="00DDEBF7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double">
        <color rgb="001F4E78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E78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0" fillId="0" borderId="1" pivotButton="0" quotePrefix="0" xfId="0"/>
    <xf numFmtId="164" fontId="6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/>
    </xf>
    <xf numFmtId="0" fontId="9" fillId="0" borderId="1" applyAlignment="1" pivotButton="0" quotePrefix="0" xfId="0">
      <alignment horizontal="left"/>
    </xf>
    <xf numFmtId="0" fontId="9" fillId="0" borderId="1" applyAlignment="1" pivotButton="0" quotePrefix="0" xfId="0">
      <alignment horizontal="center"/>
    </xf>
    <xf numFmtId="0" fontId="8" fillId="0" borderId="2" pivotButton="0" quotePrefix="0" xfId="0"/>
    <xf numFmtId="0" fontId="8" fillId="0" borderId="2" applyAlignment="1" pivotButton="0" quotePrefix="0" xfId="0">
      <alignment horizontal="center"/>
    </xf>
    <xf numFmtId="0" fontId="8" fillId="0" borderId="1" applyAlignment="1" pivotButton="0" quotePrefix="0" xfId="0">
      <alignment horizontal="right"/>
    </xf>
    <xf numFmtId="0" fontId="10" fillId="2" borderId="0" applyAlignment="1" pivotButton="0" quotePrefix="0" xfId="0">
      <alignment horizontal="center" vertical="center"/>
    </xf>
    <xf numFmtId="0" fontId="11" fillId="2" borderId="3" applyAlignment="1" pivotButton="0" quotePrefix="0" xfId="0">
      <alignment horizontal="center" vertical="center"/>
    </xf>
    <xf numFmtId="0" fontId="9" fillId="0" borderId="1" pivotButton="0" quotePrefix="0" xfId="0"/>
    <xf numFmtId="0" fontId="8" fillId="0" borderId="1" pivotButton="0" quotePrefix="0" xfId="0"/>
    <xf numFmtId="0" fontId="12" fillId="6" borderId="1" applyAlignment="1" pivotButton="0" quotePrefix="0" xfId="0">
      <alignment horizontal="center"/>
    </xf>
    <xf numFmtId="0" fontId="13" fillId="7" borderId="1" applyAlignment="1" pivotButton="0" quotePrefix="0" xfId="0">
      <alignment horizontal="center"/>
    </xf>
    <xf numFmtId="164" fontId="8" fillId="0" borderId="1" applyAlignment="1" pivotButton="0" quotePrefix="0" xfId="0">
      <alignment horizontal="right"/>
    </xf>
    <xf numFmtId="0" fontId="9" fillId="9" borderId="1" pivotButton="0" quotePrefix="0" xfId="0"/>
    <xf numFmtId="0" fontId="8" fillId="9" borderId="1" pivotButton="0" quotePrefix="0" xfId="0"/>
    <xf numFmtId="0" fontId="14" fillId="8" borderId="1" applyAlignment="1" pivotButton="0" quotePrefix="0" xfId="0">
      <alignment horizontal="center"/>
    </xf>
    <xf numFmtId="164" fontId="8" fillId="9" borderId="1" applyAlignment="1" pivotButton="0" quotePrefix="0" xfId="0">
      <alignment horizontal="right"/>
    </xf>
    <xf numFmtId="0" fontId="15" fillId="10" borderId="1" applyAlignment="1" pivotButton="0" quotePrefix="0" xfId="0">
      <alignment horizontal="center"/>
    </xf>
    <xf numFmtId="0" fontId="16" fillId="11" borderId="1" applyAlignment="1" pivotButton="0" quotePrefix="0" xfId="0">
      <alignment horizontal="center"/>
    </xf>
    <xf numFmtId="0" fontId="9" fillId="0" borderId="1" applyAlignment="1" pivotButton="0" quotePrefix="0" xfId="0">
      <alignment wrapText="1"/>
    </xf>
    <xf numFmtId="0" fontId="9" fillId="9" borderId="1" applyAlignment="1" pivotButton="0" quotePrefix="0" xfId="0">
      <alignment wrapText="1"/>
    </xf>
    <xf numFmtId="0" fontId="9" fillId="9" borderId="1" applyAlignment="1" pivotButton="0" quotePrefix="0" xfId="0">
      <alignment horizontal="center"/>
    </xf>
    <xf numFmtId="0" fontId="5" fillId="12" borderId="1" applyAlignment="1" pivotButton="0" quotePrefix="0" xfId="0">
      <alignment horizontal="center"/>
    </xf>
    <xf numFmtId="0" fontId="0" fillId="0" borderId="2" pivotButton="0" quotePrefix="0" xfId="0"/>
    <xf numFmtId="164" fontId="8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Features Status Distribution</a:t>
            </a:r>
          </a:p>
        </rich>
      </tx>
    </title>
    <plotArea>
      <pieChart>
        <varyColors val="1"/>
        <ser>
          <idx val="0"/>
          <order val="0"/>
          <tx>
            <strRef>
              <f>'Dashboard'!C12</f>
            </strRef>
          </tx>
          <spPr>
            <a:ln>
              <a:prstDash val="solid"/>
            </a:ln>
          </spPr>
          <cat>
            <numRef>
              <f>'Dashboard'!$B$13:$B$17</f>
            </numRef>
          </cat>
          <val>
            <numRef>
              <f>'Dashboard'!$C$13:$C$17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11</row>
      <rowOff>0</rowOff>
    </from>
    <ext cx="504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4"/>
  <sheetViews>
    <sheetView showGridLines="1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2" ht="30" customHeight="1">
      <c r="B2" s="1" t="inlineStr">
        <is>
          <t>NutriBite Project Tracking Dashboard</t>
        </is>
      </c>
    </row>
    <row r="3" ht="20" customHeight="1">
      <c r="B3" s="2" t="inlineStr">
        <is>
          <t>MERN + FastAPI Pediatric Nutrition Platform - Status Registry</t>
        </is>
      </c>
    </row>
    <row r="5" ht="25" customHeight="1">
      <c r="B5" s="3" t="inlineStr">
        <is>
          <t>Total Features</t>
        </is>
      </c>
      <c r="C5" s="3" t="inlineStr">
        <is>
          <t>Completed Features</t>
        </is>
      </c>
      <c r="D5" s="3" t="inlineStr">
        <is>
          <t>In Progress Features</t>
        </is>
      </c>
      <c r="E5" s="3" t="inlineStr">
        <is>
          <t>Open Features</t>
        </is>
      </c>
      <c r="F5" s="3" t="inlineStr">
        <is>
          <t>Blocked Features</t>
        </is>
      </c>
      <c r="G5" s="3" t="inlineStr">
        <is>
          <t>Overall Completion %</t>
        </is>
      </c>
    </row>
    <row r="6" ht="35" customHeight="1">
      <c r="B6" s="4">
        <f>COUNTA(Features!$B$4:$B$17)</f>
        <v/>
      </c>
      <c r="C6" s="4">
        <f>COUNTIF(Features!$F$4:$F$17, "Completed")</f>
        <v/>
      </c>
      <c r="D6" s="4">
        <f>COUNTIF(Features!$F$4:$F$17, "In Progress")</f>
        <v/>
      </c>
      <c r="E6" s="4">
        <f>COUNTIF(Features!$F$4:$F$17, "Open")</f>
        <v/>
      </c>
      <c r="F6" s="4">
        <f>COUNTIF(Features!$F$4:$F$17, "Blocked")</f>
        <v/>
      </c>
      <c r="G6" s="5">
        <f>AVERAGE(Features!$H$4:$H$17)</f>
        <v/>
      </c>
    </row>
    <row r="8" ht="20" customHeight="1">
      <c r="B8" s="6" t="inlineStr">
        <is>
          <t>Project Completion Progress Indicator</t>
        </is>
      </c>
      <c r="C8" s="7" t="n"/>
      <c r="D8" s="7" t="n"/>
      <c r="E8" s="7" t="n"/>
      <c r="F8" s="7" t="n"/>
      <c r="G8" s="7" t="n"/>
    </row>
    <row r="9" ht="40" customHeight="1">
      <c r="B9" s="8">
        <f>G6</f>
        <v/>
      </c>
      <c r="C9" s="7" t="n"/>
      <c r="D9" s="7" t="n"/>
      <c r="E9" s="7" t="n"/>
      <c r="F9" s="7" t="n"/>
      <c r="G9" s="7" t="n"/>
    </row>
    <row r="11" ht="25" customHeight="1">
      <c r="B11" s="9" t="inlineStr">
        <is>
          <t>STATUS DISTRIBUTION DATA</t>
        </is>
      </c>
      <c r="C11" s="7" t="n"/>
      <c r="E11" s="9" t="inlineStr">
        <is>
          <t>FEATURES STATUS DISTRIBUTION CHART</t>
        </is>
      </c>
      <c r="F11" s="7" t="n"/>
      <c r="G11" s="7" t="n"/>
    </row>
    <row r="12">
      <c r="B12" s="10" t="inlineStr">
        <is>
          <t>Status</t>
        </is>
      </c>
      <c r="C12" s="10" t="inlineStr">
        <is>
          <t>Count</t>
        </is>
      </c>
    </row>
    <row r="13">
      <c r="B13" s="11" t="inlineStr">
        <is>
          <t>Completed</t>
        </is>
      </c>
      <c r="C13" s="12">
        <f>COUNTIF(Features!$F$4:$F$17, "Completed")</f>
        <v/>
      </c>
    </row>
    <row r="14">
      <c r="B14" s="11" t="inlineStr">
        <is>
          <t>In Progress</t>
        </is>
      </c>
      <c r="C14" s="12">
        <f>COUNTIF(Features!$F$4:$F$17, "In Progress")</f>
        <v/>
      </c>
    </row>
    <row r="15">
      <c r="B15" s="11" t="inlineStr">
        <is>
          <t>Review</t>
        </is>
      </c>
      <c r="C15" s="12">
        <f>COUNTIF(Features!$F$4:$F$17, "Review")</f>
        <v/>
      </c>
    </row>
    <row r="16">
      <c r="B16" s="11" t="inlineStr">
        <is>
          <t>Blocked</t>
        </is>
      </c>
      <c r="C16" s="12">
        <f>COUNTIF(Features!$F$4:$F$17, "Blocked")</f>
        <v/>
      </c>
    </row>
    <row r="17">
      <c r="B17" s="11" t="inlineStr">
        <is>
          <t>Open</t>
        </is>
      </c>
      <c r="C17" s="12">
        <f>COUNTIF(Features!$F$4:$F$17, "Open")</f>
        <v/>
      </c>
    </row>
    <row r="18">
      <c r="B18" s="13" t="inlineStr">
        <is>
          <t>Total Features</t>
        </is>
      </c>
      <c r="C18" s="14">
        <f>SUM(C13:C17)</f>
        <v/>
      </c>
    </row>
    <row r="20">
      <c r="B20" s="9" t="inlineStr">
        <is>
          <t>PROJECT HEALTH &amp; TIMELINE SUMMARY</t>
        </is>
      </c>
      <c r="C20" s="7" t="n"/>
      <c r="D20" s="7" t="n"/>
      <c r="E20" s="7" t="n"/>
      <c r="F20" s="7" t="n"/>
      <c r="G20" s="7" t="n"/>
    </row>
    <row r="21">
      <c r="B21" s="15" t="inlineStr">
        <is>
          <t>Project Status:</t>
        </is>
      </c>
      <c r="C21" s="11" t="inlineStr">
        <is>
          <t>ACTIVE (Phase 5 - AI &amp; Telemetry Integration)</t>
        </is>
      </c>
      <c r="D21" s="7" t="n"/>
      <c r="E21" s="7" t="n"/>
      <c r="F21" s="7" t="n"/>
      <c r="G21" s="7" t="n"/>
    </row>
    <row r="22">
      <c r="B22" s="15" t="inlineStr">
        <is>
          <t>Current Health:</t>
        </is>
      </c>
      <c r="C22" s="11" t="inlineStr">
        <is>
          <t>HEALTHY (All core user workflows verified)</t>
        </is>
      </c>
      <c r="D22" s="7" t="n"/>
      <c r="E22" s="7" t="n"/>
      <c r="F22" s="7" t="n"/>
      <c r="G22" s="7" t="n"/>
    </row>
    <row r="23">
      <c r="B23" s="15" t="inlineStr">
        <is>
          <t>Target Deadline:</t>
        </is>
      </c>
      <c r="C23" s="11" t="inlineStr">
        <is>
          <t>June 25, 2026 (Final Review)</t>
        </is>
      </c>
      <c r="D23" s="7" t="n"/>
      <c r="E23" s="7" t="n"/>
      <c r="F23" s="7" t="n"/>
      <c r="G23" s="7" t="n"/>
    </row>
    <row r="24">
      <c r="B24" s="15" t="inlineStr">
        <is>
          <t>Risks/Blockers:</t>
        </is>
      </c>
      <c r="C24" s="11" t="inlineStr">
        <is>
          <t>None. Final RAG benchmark tests are complete.</t>
        </is>
      </c>
      <c r="D24" s="7" t="n"/>
      <c r="E24" s="7" t="n"/>
      <c r="F24" s="7" t="n"/>
      <c r="G24" s="7" t="n"/>
    </row>
  </sheetData>
  <mergeCells count="11">
    <mergeCell ref="B3:G3"/>
    <mergeCell ref="B2:G2"/>
    <mergeCell ref="B20:G20"/>
    <mergeCell ref="C21:G21"/>
    <mergeCell ref="E11:G11"/>
    <mergeCell ref="B11:C11"/>
    <mergeCell ref="C24:G24"/>
    <mergeCell ref="B9:G9"/>
    <mergeCell ref="B8:G8"/>
    <mergeCell ref="C23:G23"/>
    <mergeCell ref="C22:G2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17"/>
  <sheetViews>
    <sheetView showGridLines="1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28" customWidth="1" min="3" max="3"/>
    <col width="55" customWidth="1" min="4" max="4"/>
    <col width="20" customWidth="1" min="5" max="5"/>
    <col width="15" customWidth="1" min="6" max="6"/>
    <col width="12" customWidth="1" min="7" max="7"/>
    <col width="15" customWidth="1" min="8" max="8"/>
    <col width="30" customWidth="1" min="9" max="9"/>
  </cols>
  <sheetData>
    <row r="2" ht="35" customHeight="1">
      <c r="B2" s="16" t="inlineStr">
        <is>
          <t>NutriBite Feature Registry</t>
        </is>
      </c>
    </row>
    <row r="3" ht="25" customHeight="1">
      <c r="B3" s="17" t="inlineStr">
        <is>
          <t>Feature ID</t>
        </is>
      </c>
      <c r="C3" s="17" t="inlineStr">
        <is>
          <t>Feature Name</t>
        </is>
      </c>
      <c r="D3" s="17" t="inlineStr">
        <is>
          <t>Description</t>
        </is>
      </c>
      <c r="E3" s="17" t="inlineStr">
        <is>
          <t>Owner</t>
        </is>
      </c>
      <c r="F3" s="17" t="inlineStr">
        <is>
          <t>Status</t>
        </is>
      </c>
      <c r="G3" s="17" t="inlineStr">
        <is>
          <t>Priority</t>
        </is>
      </c>
      <c r="H3" s="17" t="inlineStr">
        <is>
          <t>Completion %</t>
        </is>
      </c>
      <c r="I3" s="17" t="inlineStr">
        <is>
          <t>Comments</t>
        </is>
      </c>
    </row>
    <row r="4" ht="22" customHeight="1">
      <c r="B4" s="18" t="inlineStr">
        <is>
          <t>F-01</t>
        </is>
      </c>
      <c r="C4" s="19" t="inlineStr">
        <is>
          <t>Landing Page</t>
        </is>
      </c>
      <c r="D4" s="18" t="inlineStr">
        <is>
          <t>Landing page explaining NutriBite's clinical and gamified modes</t>
        </is>
      </c>
      <c r="E4" s="18" t="inlineStr">
        <is>
          <t>Pavan Vignesh</t>
        </is>
      </c>
      <c r="F4" s="20" t="inlineStr">
        <is>
          <t>Completed</t>
        </is>
      </c>
      <c r="G4" s="21" t="inlineStr">
        <is>
          <t>Low</t>
        </is>
      </c>
      <c r="H4" s="22">
        <f>IF(COUNTIF(Tasks!$C$4:$C$100, C4)&gt;0, COUNTIFS(Tasks!$C$4:$C$100, C4, Tasks!$G$4:$G$100, "Completed")/COUNTIF(Tasks!$C$4:$C$100, C4), 0)</f>
        <v/>
      </c>
      <c r="I4" s="18" t="inlineStr">
        <is>
          <t>Ready for deployment</t>
        </is>
      </c>
    </row>
    <row r="5" ht="22" customHeight="1">
      <c r="B5" s="23" t="inlineStr">
        <is>
          <t>F-02</t>
        </is>
      </c>
      <c r="C5" s="24" t="inlineStr">
        <is>
          <t>Authentication</t>
        </is>
      </c>
      <c r="D5" s="23" t="inlineStr">
        <is>
          <t>User register, login, JWT and role-based access controls</t>
        </is>
      </c>
      <c r="E5" s="23" t="inlineStr">
        <is>
          <t>Tharun</t>
        </is>
      </c>
      <c r="F5" s="20" t="inlineStr">
        <is>
          <t>Completed</t>
        </is>
      </c>
      <c r="G5" s="25" t="inlineStr">
        <is>
          <t>High</t>
        </is>
      </c>
      <c r="H5" s="26">
        <f>IF(COUNTIF(Tasks!$C$4:$C$100, C5)&gt;0, COUNTIFS(Tasks!$C$4:$C$100, C5, Tasks!$G$4:$G$100, "Completed")/COUNTIF(Tasks!$C$4:$C$100, C5), 0)</f>
        <v/>
      </c>
      <c r="I5" s="23" t="inlineStr">
        <is>
          <t>Verified auth layers</t>
        </is>
      </c>
    </row>
    <row r="6" ht="22" customHeight="1">
      <c r="B6" s="18" t="inlineStr">
        <is>
          <t>F-03</t>
        </is>
      </c>
      <c r="C6" s="19" t="inlineStr">
        <is>
          <t>Parent Dashboard</t>
        </is>
      </c>
      <c r="D6" s="18" t="inlineStr">
        <is>
          <t>Command center for child metrics, sleep, active logs</t>
        </is>
      </c>
      <c r="E6" s="18" t="inlineStr">
        <is>
          <t>Pavan Vignesh</t>
        </is>
      </c>
      <c r="F6" s="20" t="inlineStr">
        <is>
          <t>Completed</t>
        </is>
      </c>
      <c r="G6" s="25" t="inlineStr">
        <is>
          <t>High</t>
        </is>
      </c>
      <c r="H6" s="22">
        <f>IF(COUNTIF(Tasks!$C$4:$C$100, C6)&gt;0, COUNTIFS(Tasks!$C$4:$C$100, C6, Tasks!$G$4:$G$100, "Completed")/COUNTIF(Tasks!$C$4:$C$100, C6), 0)</f>
        <v/>
      </c>
      <c r="I6" s="18" t="inlineStr">
        <is>
          <t>Responsive layout complete</t>
        </is>
      </c>
    </row>
    <row r="7" ht="22" customHeight="1">
      <c r="B7" s="23" t="inlineStr">
        <is>
          <t>F-04</t>
        </is>
      </c>
      <c r="C7" s="24" t="inlineStr">
        <is>
          <t>Doctor Dashboard</t>
        </is>
      </c>
      <c r="D7" s="23" t="inlineStr">
        <is>
          <t>Pediatric dashboard for patients grid, notes and charts</t>
        </is>
      </c>
      <c r="E7" s="23" t="inlineStr">
        <is>
          <t>Pavan Vignesh</t>
        </is>
      </c>
      <c r="F7" s="20" t="inlineStr">
        <is>
          <t>Completed</t>
        </is>
      </c>
      <c r="G7" s="25" t="inlineStr">
        <is>
          <t>High</t>
        </is>
      </c>
      <c r="H7" s="26">
        <f>IF(COUNTIF(Tasks!$C$4:$C$100, C7)&gt;0, COUNTIFS(Tasks!$C$4:$C$100, C7, Tasks!$G$4:$G$100, "Completed")/COUNTIF(Tasks!$C$4:$C$100, C7), 0)</f>
        <v/>
      </c>
      <c r="I7" s="23" t="inlineStr">
        <is>
          <t>Merged details view</t>
        </is>
      </c>
    </row>
    <row r="8" ht="22" customHeight="1">
      <c r="B8" s="18" t="inlineStr">
        <is>
          <t>F-05</t>
        </is>
      </c>
      <c r="C8" s="19" t="inlineStr">
        <is>
          <t>Child Profile Management</t>
        </is>
      </c>
      <c r="D8" s="18" t="inlineStr">
        <is>
          <t>Creation and maintenance of multiple child records</t>
        </is>
      </c>
      <c r="E8" s="18" t="inlineStr">
        <is>
          <t>Tharun</t>
        </is>
      </c>
      <c r="F8" s="20" t="inlineStr">
        <is>
          <t>Completed</t>
        </is>
      </c>
      <c r="G8" s="27" t="inlineStr">
        <is>
          <t>Medium</t>
        </is>
      </c>
      <c r="H8" s="22">
        <f>IF(COUNTIF(Tasks!$C$4:$C$100, C8)&gt;0, COUNTIFS(Tasks!$C$4:$C$100, C8, Tasks!$G$4:$G$100, "Completed")/COUNTIF(Tasks!$C$4:$C$100, C8), 0)</f>
        <v/>
      </c>
      <c r="I8" s="18" t="inlineStr">
        <is>
          <t>Validated with Zod schemas</t>
        </is>
      </c>
    </row>
    <row r="9" ht="22" customHeight="1">
      <c r="B9" s="23" t="inlineStr">
        <is>
          <t>F-06</t>
        </is>
      </c>
      <c r="C9" s="24" t="inlineStr">
        <is>
          <t>Meal Logging</t>
        </is>
      </c>
      <c r="D9" s="23" t="inlineStr">
        <is>
          <t>6 slot meal logging journal with portions and image upload</t>
        </is>
      </c>
      <c r="E9" s="23" t="inlineStr">
        <is>
          <t>Pavan Krishna</t>
        </is>
      </c>
      <c r="F9" s="20" t="inlineStr">
        <is>
          <t>Completed</t>
        </is>
      </c>
      <c r="G9" s="25" t="inlineStr">
        <is>
          <t>High</t>
        </is>
      </c>
      <c r="H9" s="26">
        <f>IF(COUNTIF(Tasks!$C$4:$C$100, C9)&gt;0, COUNTIFS(Tasks!$C$4:$C$100, C9, Tasks!$G$4:$G$100, "Completed")/COUNTIF(Tasks!$C$4:$C$100, C9), 0)</f>
        <v/>
      </c>
      <c r="I9" s="23" t="inlineStr">
        <is>
          <t>Linked to local food db</t>
        </is>
      </c>
    </row>
    <row r="10" ht="22" customHeight="1">
      <c r="B10" s="18" t="inlineStr">
        <is>
          <t>F-07</t>
        </is>
      </c>
      <c r="C10" s="19" t="inlineStr">
        <is>
          <t>Nutrition Analysis</t>
        </is>
      </c>
      <c r="D10" s="18" t="inlineStr">
        <is>
          <t>RDA target comparison and calorie/protein gap tracker</t>
        </is>
      </c>
      <c r="E10" s="18" t="inlineStr">
        <is>
          <t>Pavan Krishna</t>
        </is>
      </c>
      <c r="F10" s="20" t="inlineStr">
        <is>
          <t>Completed</t>
        </is>
      </c>
      <c r="G10" s="25" t="inlineStr">
        <is>
          <t>High</t>
        </is>
      </c>
      <c r="H10" s="22">
        <f>IF(COUNTIF(Tasks!$C$4:$C$100, C10)&gt;0, COUNTIFS(Tasks!$C$4:$C$100, C10, Tasks!$G$4:$G$100, "Completed")/COUNTIF(Tasks!$C$4:$C$100, C10), 0)</f>
        <v/>
      </c>
      <c r="I10" s="18" t="inlineStr">
        <is>
          <t>Deterministic gap analysis</t>
        </is>
      </c>
    </row>
    <row r="11" ht="22" customHeight="1">
      <c r="B11" s="23" t="inlineStr">
        <is>
          <t>F-08</t>
        </is>
      </c>
      <c r="C11" s="24" t="inlineStr">
        <is>
          <t>AI Nutrition Assistant</t>
        </is>
      </c>
      <c r="D11" s="23" t="inlineStr">
        <is>
          <t>Parents conversational RAG guide with citation viewer</t>
        </is>
      </c>
      <c r="E11" s="23" t="inlineStr">
        <is>
          <t>Abhiram</t>
        </is>
      </c>
      <c r="F11" s="20" t="inlineStr">
        <is>
          <t>Completed</t>
        </is>
      </c>
      <c r="G11" s="25" t="inlineStr">
        <is>
          <t>High</t>
        </is>
      </c>
      <c r="H11" s="26">
        <f>IF(COUNTIF(Tasks!$C$4:$C$100, C11)&gt;0, COUNTIFS(Tasks!$C$4:$C$100, C11, Tasks!$G$4:$G$100, "Completed")/COUNTIF(Tasks!$C$4:$C$100, C11), 0)</f>
        <v/>
      </c>
      <c r="I11" s="23" t="inlineStr">
        <is>
          <t>RAG and planning active</t>
        </is>
      </c>
    </row>
    <row r="12" ht="22" customHeight="1">
      <c r="B12" s="18" t="inlineStr">
        <is>
          <t>F-09</t>
        </is>
      </c>
      <c r="C12" s="19" t="inlineStr">
        <is>
          <t>Food Buddy</t>
        </is>
      </c>
      <c r="D12" s="18" t="inlineStr">
        <is>
          <t>Gamified kids chatbot with story prompt filters and XP</t>
        </is>
      </c>
      <c r="E12" s="18" t="inlineStr">
        <is>
          <t>Abhiram</t>
        </is>
      </c>
      <c r="F12" s="20" t="inlineStr">
        <is>
          <t>Completed</t>
        </is>
      </c>
      <c r="G12" s="27" t="inlineStr">
        <is>
          <t>Medium</t>
        </is>
      </c>
      <c r="H12" s="22">
        <f>IF(COUNTIF(Tasks!$C$4:$C$100, C12)&gt;0, COUNTIFS(Tasks!$C$4:$C$100, C12, Tasks!$G$4:$G$100, "Completed")/COUNTIF(Tasks!$C$4:$C$100, C12), 0)</f>
        <v/>
      </c>
      <c r="I12" s="18" t="inlineStr">
        <is>
          <t>Verified kid story filters</t>
        </is>
      </c>
    </row>
    <row r="13" ht="22" customHeight="1">
      <c r="B13" s="23" t="inlineStr">
        <is>
          <t>F-10</t>
        </is>
      </c>
      <c r="C13" s="24" t="inlineStr">
        <is>
          <t>Doctor Access System</t>
        </is>
      </c>
      <c r="D13" s="23" t="inlineStr">
        <is>
          <t>Secure restricted or full permission doctor connection</t>
        </is>
      </c>
      <c r="E13" s="23" t="inlineStr">
        <is>
          <t>Tharun</t>
        </is>
      </c>
      <c r="F13" s="20" t="inlineStr">
        <is>
          <t>Completed</t>
        </is>
      </c>
      <c r="G13" s="25" t="inlineStr">
        <is>
          <t>High</t>
        </is>
      </c>
      <c r="H13" s="26">
        <f>IF(COUNTIF(Tasks!$C$4:$C$100, C13)&gt;0, COUNTIFS(Tasks!$C$4:$C$100, C13, Tasks!$G$4:$G$100, "Completed")/COUNTIF(Tasks!$C$4:$C$100, C13), 0)</f>
        <v/>
      </c>
      <c r="I13" s="23" t="inlineStr">
        <is>
          <t>Validated with handshake logic</t>
        </is>
      </c>
    </row>
    <row r="14" ht="22" customHeight="1">
      <c r="B14" s="18" t="inlineStr">
        <is>
          <t>F-11</t>
        </is>
      </c>
      <c r="C14" s="19" t="inlineStr">
        <is>
          <t>Growth Tracking</t>
        </is>
      </c>
      <c r="D14" s="18" t="inlineStr">
        <is>
          <t>Logs height, weight, BMI risk status over time</t>
        </is>
      </c>
      <c r="E14" s="18" t="inlineStr">
        <is>
          <t>Pavan Krishna</t>
        </is>
      </c>
      <c r="F14" s="20" t="inlineStr">
        <is>
          <t>Completed</t>
        </is>
      </c>
      <c r="G14" s="27" t="inlineStr">
        <is>
          <t>Medium</t>
        </is>
      </c>
      <c r="H14" s="22">
        <f>IF(COUNTIF(Tasks!$C$4:$C$100, C14)&gt;0, COUNTIFS(Tasks!$C$4:$C$100, C14, Tasks!$G$4:$G$100, "Completed")/COUNTIF(Tasks!$C$4:$C$100, C14), 0)</f>
        <v/>
      </c>
      <c r="I14" s="18" t="inlineStr">
        <is>
          <t>Computes BMI percentiles</t>
        </is>
      </c>
    </row>
    <row r="15" ht="22" customHeight="1">
      <c r="B15" s="23" t="inlineStr">
        <is>
          <t>F-12</t>
        </is>
      </c>
      <c r="C15" s="24" t="inlineStr">
        <is>
          <t>RAG Pipeline</t>
        </is>
      </c>
      <c r="D15" s="23" t="inlineStr">
        <is>
          <t>BM25 and FAISS hybrid vector search with reranker</t>
        </is>
      </c>
      <c r="E15" s="23" t="inlineStr">
        <is>
          <t>Dinesh Veera</t>
        </is>
      </c>
      <c r="F15" s="20" t="inlineStr">
        <is>
          <t>Completed</t>
        </is>
      </c>
      <c r="G15" s="25" t="inlineStr">
        <is>
          <t>High</t>
        </is>
      </c>
      <c r="H15" s="26">
        <f>IF(COUNTIF(Tasks!$C$4:$C$100, C15)&gt;0, COUNTIFS(Tasks!$C$4:$C$100, C15, Tasks!$G$4:$G$100, "Completed")/COUNTIF(Tasks!$C$4:$C$100, C15), 0)</f>
        <v/>
      </c>
      <c r="I15" s="23" t="inlineStr">
        <is>
          <t>Guideline textbooks loaded</t>
        </is>
      </c>
    </row>
    <row r="16" ht="22" customHeight="1">
      <c r="B16" s="18" t="inlineStr">
        <is>
          <t>F-13</t>
        </is>
      </c>
      <c r="C16" s="19" t="inlineStr">
        <is>
          <t>Privacy Mode</t>
        </is>
      </c>
      <c r="D16" s="18" t="inlineStr">
        <is>
          <t>Local Ollama offline model router toggle</t>
        </is>
      </c>
      <c r="E16" s="18" t="inlineStr">
        <is>
          <t>Abhiram</t>
        </is>
      </c>
      <c r="F16" s="28" t="inlineStr">
        <is>
          <t>Review</t>
        </is>
      </c>
      <c r="G16" s="27" t="inlineStr">
        <is>
          <t>Medium</t>
        </is>
      </c>
      <c r="H16" s="22">
        <f>IF(COUNTIF(Tasks!$C$4:$C$100, C16)&gt;0, COUNTIFS(Tasks!$C$4:$C$100, C16, Tasks!$G$4:$G$100, "Completed")/COUNTIF(Tasks!$C$4:$C$100, C16), 0)</f>
        <v/>
      </c>
      <c r="I16" s="18" t="inlineStr">
        <is>
          <t>Integrating static fallback</t>
        </is>
      </c>
    </row>
    <row r="17" ht="22" customHeight="1">
      <c r="B17" s="23" t="inlineStr">
        <is>
          <t>F-14</t>
        </is>
      </c>
      <c r="C17" s="24" t="inlineStr">
        <is>
          <t>Deployment</t>
        </is>
      </c>
      <c r="D17" s="23" t="inlineStr">
        <is>
          <t>MongoDB Atlas, Prometheus telemetry and compose setups</t>
        </is>
      </c>
      <c r="E17" s="23" t="inlineStr">
        <is>
          <t>Tharun</t>
        </is>
      </c>
      <c r="F17" s="20" t="inlineStr">
        <is>
          <t>Completed</t>
        </is>
      </c>
      <c r="G17" s="25" t="inlineStr">
        <is>
          <t>High</t>
        </is>
      </c>
      <c r="H17" s="26">
        <f>IF(COUNTIF(Tasks!$C$4:$C$100, C17)&gt;0, COUNTIFS(Tasks!$C$4:$C$100, C17, Tasks!$G$4:$G$100, "Completed")/COUNTIF(Tasks!$C$4:$C$100, C17), 0)</f>
        <v/>
      </c>
      <c r="I17" s="23" t="inlineStr">
        <is>
          <t>Staging containers running</t>
        </is>
      </c>
    </row>
  </sheetData>
  <mergeCells count="1">
    <mergeCell ref="B2:I2"/>
  </mergeCells>
  <dataValidations count="2">
    <dataValidation sqref="F4:F17" showDropDown="0" showInputMessage="0" showErrorMessage="0" allowBlank="1" type="list">
      <formula1>"Open,In Progress,Review,Completed,Blocked"</formula1>
    </dataValidation>
    <dataValidation sqref="G4:G17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17"/>
  <sheetViews>
    <sheetView showGridLines="1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25" customWidth="1" min="3" max="3"/>
    <col width="65" customWidth="1" min="4" max="4"/>
    <col width="20" customWidth="1" min="5" max="5"/>
    <col width="15" customWidth="1" min="6" max="6"/>
    <col width="20" customWidth="1" min="7" max="7"/>
    <col width="30" customWidth="1" min="8" max="8"/>
  </cols>
  <sheetData>
    <row r="2" ht="35" customHeight="1">
      <c r="B2" s="16" t="inlineStr">
        <is>
          <t>NutriBite User Stories</t>
        </is>
      </c>
    </row>
    <row r="3" ht="25" customHeight="1">
      <c r="B3" s="17" t="inlineStr">
        <is>
          <t>Story ID</t>
        </is>
      </c>
      <c r="C3" s="17" t="inlineStr">
        <is>
          <t>Feature</t>
        </is>
      </c>
      <c r="D3" s="17" t="inlineStr">
        <is>
          <t>User Story</t>
        </is>
      </c>
      <c r="E3" s="17" t="inlineStr">
        <is>
          <t>Assigned To</t>
        </is>
      </c>
      <c r="F3" s="17" t="inlineStr">
        <is>
          <t>Status</t>
        </is>
      </c>
      <c r="G3" s="17" t="inlineStr">
        <is>
          <t>Reviewer</t>
        </is>
      </c>
      <c r="H3" s="17" t="inlineStr">
        <is>
          <t>Comments</t>
        </is>
      </c>
    </row>
    <row r="4" ht="40" customHeight="1">
      <c r="B4" s="18" t="inlineStr">
        <is>
          <t>US-01</t>
        </is>
      </c>
      <c r="C4" s="19" t="inlineStr">
        <is>
          <t>Landing Page</t>
        </is>
      </c>
      <c r="D4" s="29" t="inlineStr">
        <is>
          <t>As a prospective user, I want to view a visually engaging landing page, so that I can understand NutriBite's clinical and gamified features.</t>
        </is>
      </c>
      <c r="E4" s="18" t="inlineStr">
        <is>
          <t>Pavan Vignesh</t>
        </is>
      </c>
      <c r="F4" s="20" t="inlineStr">
        <is>
          <t>Completed</t>
        </is>
      </c>
      <c r="G4" s="18" t="inlineStr">
        <is>
          <t>Abhiram</t>
        </is>
      </c>
      <c r="H4" s="18" t="inlineStr">
        <is>
          <t>Visual layout verified</t>
        </is>
      </c>
    </row>
    <row r="5" ht="40" customHeight="1">
      <c r="B5" s="23" t="inlineStr">
        <is>
          <t>US-02</t>
        </is>
      </c>
      <c r="C5" s="24" t="inlineStr">
        <is>
          <t>Authentication</t>
        </is>
      </c>
      <c r="D5" s="30" t="inlineStr">
        <is>
          <t>As a parent or doctor, I want secure registration and login, so that my child's medical and dietary data is protected.</t>
        </is>
      </c>
      <c r="E5" s="23" t="inlineStr">
        <is>
          <t>Tharun</t>
        </is>
      </c>
      <c r="F5" s="20" t="inlineStr">
        <is>
          <t>Completed</t>
        </is>
      </c>
      <c r="G5" s="23" t="inlineStr">
        <is>
          <t>Abhiram</t>
        </is>
      </c>
      <c r="H5" s="23" t="inlineStr">
        <is>
          <t>Auth tests passed</t>
        </is>
      </c>
    </row>
    <row r="6" ht="40" customHeight="1">
      <c r="B6" s="18" t="inlineStr">
        <is>
          <t>US-03</t>
        </is>
      </c>
      <c r="C6" s="19" t="inlineStr">
        <is>
          <t>Parent Dashboard</t>
        </is>
      </c>
      <c r="D6" s="29" t="inlineStr">
        <is>
          <t>As a parent, I want to see a central dashboard with quick logging tools and water intake counters, so that I can easily monitor my child's daily habits.</t>
        </is>
      </c>
      <c r="E6" s="18" t="inlineStr">
        <is>
          <t>Pavan Vignesh</t>
        </is>
      </c>
      <c r="F6" s="20" t="inlineStr">
        <is>
          <t>Completed</t>
        </is>
      </c>
      <c r="G6" s="18" t="inlineStr">
        <is>
          <t>Tharun</t>
        </is>
      </c>
      <c r="H6" s="18" t="inlineStr">
        <is>
          <t>Linked to stats API</t>
        </is>
      </c>
    </row>
    <row r="7" ht="40" customHeight="1">
      <c r="B7" s="23" t="inlineStr">
        <is>
          <t>US-04</t>
        </is>
      </c>
      <c r="C7" s="24" t="inlineStr">
        <is>
          <t>Doctor Dashboard</t>
        </is>
      </c>
      <c r="D7" s="30" t="inlineStr">
        <is>
          <t>As a pediatrician, I want a unified patient list and growth graphs, so that I can review real-time meal diaries and growth histories.</t>
        </is>
      </c>
      <c r="E7" s="23" t="inlineStr">
        <is>
          <t>Pavan Vignesh</t>
        </is>
      </c>
      <c r="F7" s="20" t="inlineStr">
        <is>
          <t>Completed</t>
        </is>
      </c>
      <c r="G7" s="23" t="inlineStr">
        <is>
          <t>Tharun</t>
        </is>
      </c>
      <c r="H7" s="23" t="inlineStr">
        <is>
          <t>Grid layouts complete</t>
        </is>
      </c>
    </row>
    <row r="8" ht="40" customHeight="1">
      <c r="B8" s="18" t="inlineStr">
        <is>
          <t>US-05</t>
        </is>
      </c>
      <c r="C8" s="19" t="inlineStr">
        <is>
          <t>Child Profile Management</t>
        </is>
      </c>
      <c r="D8" s="29" t="inlineStr">
        <is>
          <t>As a parent, I want to create separate child profiles with dietary preferences and custom avatars, so that I can manage each child's health goals individually.</t>
        </is>
      </c>
      <c r="E8" s="18" t="inlineStr">
        <is>
          <t>Tharun</t>
        </is>
      </c>
      <c r="F8" s="20" t="inlineStr">
        <is>
          <t>Completed</t>
        </is>
      </c>
      <c r="G8" s="18" t="inlineStr">
        <is>
          <t>Pavan Krishna</t>
        </is>
      </c>
      <c r="H8" s="18" t="inlineStr">
        <is>
          <t>DB schema tested</t>
        </is>
      </c>
    </row>
    <row r="9" ht="40" customHeight="1">
      <c r="B9" s="23" t="inlineStr">
        <is>
          <t>US-06</t>
        </is>
      </c>
      <c r="C9" s="24" t="inlineStr">
        <is>
          <t>Meal Logging</t>
        </is>
      </c>
      <c r="D9" s="30" t="inlineStr">
        <is>
          <t>As a parent, I want to log breakfast, lunch, dinner, snacks, and upload meal photos, so that I have a complete dietary history for analysis.</t>
        </is>
      </c>
      <c r="E9" s="23" t="inlineStr">
        <is>
          <t>Pavan Krishna</t>
        </is>
      </c>
      <c r="F9" s="20" t="inlineStr">
        <is>
          <t>Completed</t>
        </is>
      </c>
      <c r="G9" s="23" t="inlineStr">
        <is>
          <t>Abhiram</t>
        </is>
      </c>
      <c r="H9" s="23" t="inlineStr">
        <is>
          <t>Form validation tested</t>
        </is>
      </c>
    </row>
    <row r="10" ht="40" customHeight="1">
      <c r="B10" s="18" t="inlineStr">
        <is>
          <t>US-07</t>
        </is>
      </c>
      <c r="C10" s="19" t="inlineStr">
        <is>
          <t>Nutrition Analysis</t>
        </is>
      </c>
      <c r="D10" s="29" t="inlineStr">
        <is>
          <t>As a parent, I want to view auto-calculated macro totals and RDA gaps, so that I can identify dietary deficiencies like iron or calcium.</t>
        </is>
      </c>
      <c r="E10" s="18" t="inlineStr">
        <is>
          <t>Pavan Krishna</t>
        </is>
      </c>
      <c r="F10" s="20" t="inlineStr">
        <is>
          <t>Completed</t>
        </is>
      </c>
      <c r="G10" s="18" t="inlineStr">
        <is>
          <t>Dinesh Veera</t>
        </is>
      </c>
      <c r="H10" s="18" t="inlineStr">
        <is>
          <t>Target comparisons verified</t>
        </is>
      </c>
    </row>
    <row r="11" ht="40" customHeight="1">
      <c r="B11" s="23" t="inlineStr">
        <is>
          <t>US-08</t>
        </is>
      </c>
      <c r="C11" s="24" t="inlineStr">
        <is>
          <t>AI Nutrition Assistant</t>
        </is>
      </c>
      <c r="D11" s="30" t="inlineStr">
        <is>
          <t>As a parent, I want to chat with an AI assistant that references NIN/ICMR guidelines, so that I can get reliable, safe pediatric advice.</t>
        </is>
      </c>
      <c r="E11" s="23" t="inlineStr">
        <is>
          <t>Abhiram</t>
        </is>
      </c>
      <c r="F11" s="20" t="inlineStr">
        <is>
          <t>Completed</t>
        </is>
      </c>
      <c r="G11" s="23" t="inlineStr">
        <is>
          <t>Dinesh Veera</t>
        </is>
      </c>
      <c r="H11" s="23" t="inlineStr">
        <is>
          <t>Citations verified</t>
        </is>
      </c>
    </row>
    <row r="12" ht="40" customHeight="1">
      <c r="B12" s="18" t="inlineStr">
        <is>
          <t>US-09</t>
        </is>
      </c>
      <c r="C12" s="19" t="inlineStr">
        <is>
          <t>Food Buddy</t>
        </is>
      </c>
      <c r="D12" s="29" t="inlineStr">
        <is>
          <t>As a child, I want to chat with a superhero mascot, earn XP, and unlock badges for eating healthy, so that eating well is fun.</t>
        </is>
      </c>
      <c r="E12" s="18" t="inlineStr">
        <is>
          <t>Abhiram</t>
        </is>
      </c>
      <c r="F12" s="20" t="inlineStr">
        <is>
          <t>Completed</t>
        </is>
      </c>
      <c r="G12" s="18" t="inlineStr">
        <is>
          <t>Pavan Vignesh</t>
        </is>
      </c>
      <c r="H12" s="18" t="inlineStr">
        <is>
          <t>Kids mode flow validated</t>
        </is>
      </c>
    </row>
    <row r="13" ht="40" customHeight="1">
      <c r="B13" s="23" t="inlineStr">
        <is>
          <t>US-10</t>
        </is>
      </c>
      <c r="C13" s="24" t="inlineStr">
        <is>
          <t>Doctor Access System</t>
        </is>
      </c>
      <c r="D13" s="30" t="inlineStr">
        <is>
          <t>As a parent, I want to approve or deny access requests from specific doctors, so that I control who sees my child's clinical records.</t>
        </is>
      </c>
      <c r="E13" s="23" t="inlineStr">
        <is>
          <t>Tharun</t>
        </is>
      </c>
      <c r="F13" s="20" t="inlineStr">
        <is>
          <t>Completed</t>
        </is>
      </c>
      <c r="G13" s="23" t="inlineStr">
        <is>
          <t>Abhiram</t>
        </is>
      </c>
      <c r="H13" s="23" t="inlineStr">
        <is>
          <t>Two-way handshake verified</t>
        </is>
      </c>
    </row>
    <row r="14" ht="40" customHeight="1">
      <c r="B14" s="18" t="inlineStr">
        <is>
          <t>US-11</t>
        </is>
      </c>
      <c r="C14" s="19" t="inlineStr">
        <is>
          <t>Growth Tracking</t>
        </is>
      </c>
      <c r="D14" s="29" t="inlineStr">
        <is>
          <t>As a parent, I want to record height and weight logs to calculate BMI, so that I can monitor my child's physical development.</t>
        </is>
      </c>
      <c r="E14" s="18" t="inlineStr">
        <is>
          <t>Pavan Krishna</t>
        </is>
      </c>
      <c r="F14" s="20" t="inlineStr">
        <is>
          <t>Completed</t>
        </is>
      </c>
      <c r="G14" s="18" t="inlineStr">
        <is>
          <t>Tharun</t>
        </is>
      </c>
      <c r="H14" s="18" t="inlineStr">
        <is>
          <t>Growth velocity calculated</t>
        </is>
      </c>
    </row>
    <row r="15" ht="40" customHeight="1">
      <c r="B15" s="23" t="inlineStr">
        <is>
          <t>US-12</t>
        </is>
      </c>
      <c r="C15" s="24" t="inlineStr">
        <is>
          <t>RAG Pipeline</t>
        </is>
      </c>
      <c r="D15" s="30" t="inlineStr">
        <is>
          <t>As a developer, I want hybrid keyword/semantic retrieval, so that chat answers are clinically correct.</t>
        </is>
      </c>
      <c r="E15" s="23" t="inlineStr">
        <is>
          <t>Dinesh Veera</t>
        </is>
      </c>
      <c r="F15" s="20" t="inlineStr">
        <is>
          <t>Completed</t>
        </is>
      </c>
      <c r="G15" s="23" t="inlineStr">
        <is>
          <t>Abhiram</t>
        </is>
      </c>
      <c r="H15" s="23" t="inlineStr">
        <is>
          <t>Retrieval MRR is above 0.85</t>
        </is>
      </c>
    </row>
    <row r="16" ht="40" customHeight="1">
      <c r="B16" s="18" t="inlineStr">
        <is>
          <t>US-13</t>
        </is>
      </c>
      <c r="C16" s="19" t="inlineStr">
        <is>
          <t>Privacy Mode</t>
        </is>
      </c>
      <c r="D16" s="29" t="inlineStr">
        <is>
          <t>As a parent, I want local offline inference routing, so that child PII is not sent to external cloud APIs.</t>
        </is>
      </c>
      <c r="E16" s="18" t="inlineStr">
        <is>
          <t>Abhiram</t>
        </is>
      </c>
      <c r="F16" s="28" t="inlineStr">
        <is>
          <t>Review</t>
        </is>
      </c>
      <c r="G16" s="18" t="inlineStr">
        <is>
          <t>Tharun</t>
        </is>
      </c>
      <c r="H16" s="18" t="inlineStr">
        <is>
          <t>Model router works offline</t>
        </is>
      </c>
    </row>
    <row r="17" ht="40" customHeight="1">
      <c r="B17" s="23" t="inlineStr">
        <is>
          <t>US-14</t>
        </is>
      </c>
      <c r="C17" s="24" t="inlineStr">
        <is>
          <t>Deployment</t>
        </is>
      </c>
      <c r="D17" s="30" t="inlineStr">
        <is>
          <t>As a developer, I want a containerized deployment with metrics, so that operations are stable and observable.</t>
        </is>
      </c>
      <c r="E17" s="23" t="inlineStr">
        <is>
          <t>Tharun</t>
        </is>
      </c>
      <c r="F17" s="20" t="inlineStr">
        <is>
          <t>Completed</t>
        </is>
      </c>
      <c r="G17" s="23" t="inlineStr">
        <is>
          <t>Dinesh Veera</t>
        </is>
      </c>
      <c r="H17" s="23" t="inlineStr">
        <is>
          <t>Telemetry dashboards running</t>
        </is>
      </c>
    </row>
  </sheetData>
  <mergeCells count="1">
    <mergeCell ref="B2:H2"/>
  </mergeCells>
  <dataValidations count="1">
    <dataValidation sqref="F4:F17" showDropDown="0" showInputMessage="0" showErrorMessage="0" allowBlank="1" type="list">
      <formula1>"Open,In Progress,Review,Completed,Blocked"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I56"/>
  <sheetViews>
    <sheetView showGridLines="1" workbookViewId="0">
      <selection activeCell="A1" sqref="A1"/>
    </sheetView>
  </sheetViews>
  <sheetFormatPr baseColWidth="8" defaultRowHeight="15"/>
  <cols>
    <col width="2" customWidth="1" min="1" max="1"/>
    <col width="10" customWidth="1" min="2" max="2"/>
    <col width="25" customWidth="1" min="3" max="3"/>
    <col width="45" customWidth="1" min="4" max="4"/>
    <col width="20" customWidth="1" min="5" max="5"/>
    <col width="20" customWidth="1" min="6" max="6"/>
    <col width="15" customWidth="1" min="7" max="7"/>
    <col width="14" customWidth="1" min="8" max="8"/>
    <col width="30" customWidth="1" min="9" max="9"/>
  </cols>
  <sheetData>
    <row r="2" ht="35" customHeight="1">
      <c r="B2" s="16" t="inlineStr">
        <is>
          <t>NutriBite Detailed Task Registry</t>
        </is>
      </c>
    </row>
    <row r="3" ht="25" customHeight="1">
      <c r="B3" s="17" t="inlineStr">
        <is>
          <t>Task ID</t>
        </is>
      </c>
      <c r="C3" s="17" t="inlineStr">
        <is>
          <t>Feature</t>
        </is>
      </c>
      <c r="D3" s="17" t="inlineStr">
        <is>
          <t>Task Name</t>
        </is>
      </c>
      <c r="E3" s="17" t="inlineStr">
        <is>
          <t>Assigned To</t>
        </is>
      </c>
      <c r="F3" s="17" t="inlineStr">
        <is>
          <t>Reviewed By</t>
        </is>
      </c>
      <c r="G3" s="17" t="inlineStr">
        <is>
          <t>Status</t>
        </is>
      </c>
      <c r="H3" s="17" t="inlineStr">
        <is>
          <t>Due Date</t>
        </is>
      </c>
      <c r="I3" s="17" t="inlineStr">
        <is>
          <t>Comments</t>
        </is>
      </c>
    </row>
    <row r="4" ht="20" customHeight="1">
      <c r="B4" s="18" t="inlineStr">
        <is>
          <t>T-001</t>
        </is>
      </c>
      <c r="C4" s="19" t="inlineStr">
        <is>
          <t>Landing Page</t>
        </is>
      </c>
      <c r="D4" s="18" t="inlineStr">
        <is>
          <t>Create Hero Section</t>
        </is>
      </c>
      <c r="E4" s="18" t="inlineStr">
        <is>
          <t>Pavan Vignesh</t>
        </is>
      </c>
      <c r="F4" s="18" t="inlineStr">
        <is>
          <t>Abhiram</t>
        </is>
      </c>
      <c r="G4" s="20" t="inlineStr">
        <is>
          <t>Completed</t>
        </is>
      </c>
      <c r="H4" s="12" t="inlineStr">
        <is>
          <t>2026-04-15</t>
        </is>
      </c>
      <c r="I4" s="18" t="inlineStr">
        <is>
          <t>Responsive layout complete</t>
        </is>
      </c>
    </row>
    <row r="5" ht="20" customHeight="1">
      <c r="B5" s="23" t="inlineStr">
        <is>
          <t>T-002</t>
        </is>
      </c>
      <c r="C5" s="24" t="inlineStr">
        <is>
          <t>Landing Page</t>
        </is>
      </c>
      <c r="D5" s="23" t="inlineStr">
        <is>
          <t>Create About Section</t>
        </is>
      </c>
      <c r="E5" s="23" t="inlineStr">
        <is>
          <t>Pavan Vignesh</t>
        </is>
      </c>
      <c r="F5" s="23" t="inlineStr">
        <is>
          <t>Abhiram</t>
        </is>
      </c>
      <c r="G5" s="20" t="inlineStr">
        <is>
          <t>Completed</t>
        </is>
      </c>
      <c r="H5" s="31" t="inlineStr">
        <is>
          <t>2026-04-16</t>
        </is>
      </c>
      <c r="I5" s="23" t="inlineStr">
        <is>
          <t>Standard copy written</t>
        </is>
      </c>
    </row>
    <row r="6" ht="20" customHeight="1">
      <c r="B6" s="18" t="inlineStr">
        <is>
          <t>T-003</t>
        </is>
      </c>
      <c r="C6" s="19" t="inlineStr">
        <is>
          <t>Landing Page</t>
        </is>
      </c>
      <c r="D6" s="18" t="inlineStr">
        <is>
          <t>Create Features Section</t>
        </is>
      </c>
      <c r="E6" s="18" t="inlineStr">
        <is>
          <t>Pavan Vignesh</t>
        </is>
      </c>
      <c r="F6" s="18" t="inlineStr">
        <is>
          <t>Abhiram</t>
        </is>
      </c>
      <c r="G6" s="20" t="inlineStr">
        <is>
          <t>Completed</t>
        </is>
      </c>
      <c r="H6" s="12" t="inlineStr">
        <is>
          <t>2026-04-17</t>
        </is>
      </c>
      <c r="I6" s="18" t="inlineStr">
        <is>
          <t>Icons added</t>
        </is>
      </c>
    </row>
    <row r="7" ht="20" customHeight="1">
      <c r="B7" s="23" t="inlineStr">
        <is>
          <t>T-004</t>
        </is>
      </c>
      <c r="C7" s="24" t="inlineStr">
        <is>
          <t>Landing Page</t>
        </is>
      </c>
      <c r="D7" s="23" t="inlineStr">
        <is>
          <t>Create Contact Section</t>
        </is>
      </c>
      <c r="E7" s="23" t="inlineStr">
        <is>
          <t>Pavan Vignesh</t>
        </is>
      </c>
      <c r="F7" s="23" t="inlineStr">
        <is>
          <t>Abhiram</t>
        </is>
      </c>
      <c r="G7" s="20" t="inlineStr">
        <is>
          <t>Completed</t>
        </is>
      </c>
      <c r="H7" s="31" t="inlineStr">
        <is>
          <t>2026-04-18</t>
        </is>
      </c>
      <c r="I7" s="23" t="inlineStr">
        <is>
          <t>Feedback form integrated</t>
        </is>
      </c>
    </row>
    <row r="8" ht="20" customHeight="1">
      <c r="B8" s="18" t="inlineStr">
        <is>
          <t>T-005</t>
        </is>
      </c>
      <c r="C8" s="19" t="inlineStr">
        <is>
          <t>Landing Page</t>
        </is>
      </c>
      <c r="D8" s="18" t="inlineStr">
        <is>
          <t>Responsive Design</t>
        </is>
      </c>
      <c r="E8" s="18" t="inlineStr">
        <is>
          <t>Pavan Vignesh</t>
        </is>
      </c>
      <c r="F8" s="18" t="inlineStr">
        <is>
          <t>Abhiram</t>
        </is>
      </c>
      <c r="G8" s="20" t="inlineStr">
        <is>
          <t>Completed</t>
        </is>
      </c>
      <c r="H8" s="12" t="inlineStr">
        <is>
          <t>2026-04-20</t>
        </is>
      </c>
      <c r="I8" s="18" t="inlineStr">
        <is>
          <t>Viewport tested on mobile</t>
        </is>
      </c>
    </row>
    <row r="9" ht="20" customHeight="1">
      <c r="B9" s="23" t="inlineStr">
        <is>
          <t>T-006</t>
        </is>
      </c>
      <c r="C9" s="24" t="inlineStr">
        <is>
          <t>Authentication</t>
        </is>
      </c>
      <c r="D9" s="23" t="inlineStr">
        <is>
          <t>Login UI</t>
        </is>
      </c>
      <c r="E9" s="23" t="inlineStr">
        <is>
          <t>Pavan Vignesh</t>
        </is>
      </c>
      <c r="F9" s="23" t="inlineStr">
        <is>
          <t>Tharun</t>
        </is>
      </c>
      <c r="G9" s="20" t="inlineStr">
        <is>
          <t>Completed</t>
        </is>
      </c>
      <c r="H9" s="31" t="inlineStr">
        <is>
          <t>2026-04-22</t>
        </is>
      </c>
      <c r="I9" s="23" t="inlineStr">
        <is>
          <t>Auth forms structured</t>
        </is>
      </c>
    </row>
    <row r="10" ht="20" customHeight="1">
      <c r="B10" s="18" t="inlineStr">
        <is>
          <t>T-007</t>
        </is>
      </c>
      <c r="C10" s="19" t="inlineStr">
        <is>
          <t>Authentication</t>
        </is>
      </c>
      <c r="D10" s="18" t="inlineStr">
        <is>
          <t>Registration UI</t>
        </is>
      </c>
      <c r="E10" s="18" t="inlineStr">
        <is>
          <t>Pavan Vignesh</t>
        </is>
      </c>
      <c r="F10" s="18" t="inlineStr">
        <is>
          <t>Tharun</t>
        </is>
      </c>
      <c r="G10" s="20" t="inlineStr">
        <is>
          <t>Completed</t>
        </is>
      </c>
      <c r="H10" s="12" t="inlineStr">
        <is>
          <t>2026-04-23</t>
        </is>
      </c>
      <c r="I10" s="18" t="inlineStr">
        <is>
          <t>Role check dropdown added</t>
        </is>
      </c>
    </row>
    <row r="11" ht="20" customHeight="1">
      <c r="B11" s="23" t="inlineStr">
        <is>
          <t>T-008</t>
        </is>
      </c>
      <c r="C11" s="24" t="inlineStr">
        <is>
          <t>Authentication</t>
        </is>
      </c>
      <c r="D11" s="23" t="inlineStr">
        <is>
          <t>JWT Authentication</t>
        </is>
      </c>
      <c r="E11" s="23" t="inlineStr">
        <is>
          <t>Tharun</t>
        </is>
      </c>
      <c r="F11" s="23" t="inlineStr">
        <is>
          <t>Abhiram</t>
        </is>
      </c>
      <c r="G11" s="20" t="inlineStr">
        <is>
          <t>Completed</t>
        </is>
      </c>
      <c r="H11" s="31" t="inlineStr">
        <is>
          <t>2026-04-25</t>
        </is>
      </c>
      <c r="I11" s="23" t="inlineStr">
        <is>
          <t>Cookie parser configuration</t>
        </is>
      </c>
    </row>
    <row r="12" ht="20" customHeight="1">
      <c r="B12" s="18" t="inlineStr">
        <is>
          <t>T-009</t>
        </is>
      </c>
      <c r="C12" s="19" t="inlineStr">
        <is>
          <t>Authentication</t>
        </is>
      </c>
      <c r="D12" s="18" t="inlineStr">
        <is>
          <t>Role Based Access</t>
        </is>
      </c>
      <c r="E12" s="18" t="inlineStr">
        <is>
          <t>Tharun</t>
        </is>
      </c>
      <c r="F12" s="18" t="inlineStr">
        <is>
          <t>Abhiram</t>
        </is>
      </c>
      <c r="G12" s="20" t="inlineStr">
        <is>
          <t>Completed</t>
        </is>
      </c>
      <c r="H12" s="12" t="inlineStr">
        <is>
          <t>2026-04-27</t>
        </is>
      </c>
      <c r="I12" s="18" t="inlineStr">
        <is>
          <t>Express route guarding</t>
        </is>
      </c>
    </row>
    <row r="13" ht="20" customHeight="1">
      <c r="B13" s="23" t="inlineStr">
        <is>
          <t>T-010</t>
        </is>
      </c>
      <c r="C13" s="24" t="inlineStr">
        <is>
          <t>Parent Dashboard</t>
        </is>
      </c>
      <c r="D13" s="23" t="inlineStr">
        <is>
          <t>Child Selection Widget</t>
        </is>
      </c>
      <c r="E13" s="23" t="inlineStr">
        <is>
          <t>Pavan Vignesh</t>
        </is>
      </c>
      <c r="F13" s="23" t="inlineStr">
        <is>
          <t>Tharun</t>
        </is>
      </c>
      <c r="G13" s="20" t="inlineStr">
        <is>
          <t>Completed</t>
        </is>
      </c>
      <c r="H13" s="31" t="inlineStr">
        <is>
          <t>2026-04-29</t>
        </is>
      </c>
      <c r="I13" s="23" t="inlineStr">
        <is>
          <t>Dynamic dropdown list</t>
        </is>
      </c>
    </row>
    <row r="14" ht="20" customHeight="1">
      <c r="B14" s="18" t="inlineStr">
        <is>
          <t>T-011</t>
        </is>
      </c>
      <c r="C14" s="19" t="inlineStr">
        <is>
          <t>Parent Dashboard</t>
        </is>
      </c>
      <c r="D14" s="18" t="inlineStr">
        <is>
          <t>Activity Level Widget</t>
        </is>
      </c>
      <c r="E14" s="18" t="inlineStr">
        <is>
          <t>Pavan Vignesh</t>
        </is>
      </c>
      <c r="F14" s="18" t="inlineStr">
        <is>
          <t>Tharun</t>
        </is>
      </c>
      <c r="G14" s="20" t="inlineStr">
        <is>
          <t>Completed</t>
        </is>
      </c>
      <c r="H14" s="12" t="inlineStr">
        <is>
          <t>2026-04-30</t>
        </is>
      </c>
      <c r="I14" s="18" t="inlineStr">
        <is>
          <t>Active settings tags</t>
        </is>
      </c>
    </row>
    <row r="15" ht="20" customHeight="1">
      <c r="B15" s="23" t="inlineStr">
        <is>
          <t>T-012</t>
        </is>
      </c>
      <c r="C15" s="24" t="inlineStr">
        <is>
          <t>Parent Dashboard</t>
        </is>
      </c>
      <c r="D15" s="23" t="inlineStr">
        <is>
          <t>Caloric Summary UI</t>
        </is>
      </c>
      <c r="E15" s="23" t="inlineStr">
        <is>
          <t>Pavan Vignesh</t>
        </is>
      </c>
      <c r="F15" s="23" t="inlineStr">
        <is>
          <t>Pavan Krishna</t>
        </is>
      </c>
      <c r="G15" s="20" t="inlineStr">
        <is>
          <t>Completed</t>
        </is>
      </c>
      <c r="H15" s="31" t="inlineStr">
        <is>
          <t>2026-05-02</t>
        </is>
      </c>
      <c r="I15" s="23" t="inlineStr">
        <is>
          <t>Circular charts embedded</t>
        </is>
      </c>
    </row>
    <row r="16" ht="20" customHeight="1">
      <c r="B16" s="18" t="inlineStr">
        <is>
          <t>T-013</t>
        </is>
      </c>
      <c r="C16" s="19" t="inlineStr">
        <is>
          <t>Parent Dashboard</t>
        </is>
      </c>
      <c r="D16" s="18" t="inlineStr">
        <is>
          <t>Water Logger Stats Card</t>
        </is>
      </c>
      <c r="E16" s="18" t="inlineStr">
        <is>
          <t>Pavan Krishna</t>
        </is>
      </c>
      <c r="F16" s="18" t="inlineStr">
        <is>
          <t>Tharun</t>
        </is>
      </c>
      <c r="G16" s="20" t="inlineStr">
        <is>
          <t>Completed</t>
        </is>
      </c>
      <c r="H16" s="12" t="inlineStr">
        <is>
          <t>2026-05-04</t>
        </is>
      </c>
      <c r="I16" s="18" t="inlineStr">
        <is>
          <t>Quick +250ml logging</t>
        </is>
      </c>
    </row>
    <row r="17" ht="20" customHeight="1">
      <c r="B17" s="23" t="inlineStr">
        <is>
          <t>T-014</t>
        </is>
      </c>
      <c r="C17" s="24" t="inlineStr">
        <is>
          <t>Doctor Dashboard</t>
        </is>
      </c>
      <c r="D17" s="23" t="inlineStr">
        <is>
          <t>Patients Grid</t>
        </is>
      </c>
      <c r="E17" s="23" t="inlineStr">
        <is>
          <t>Pavan Vignesh</t>
        </is>
      </c>
      <c r="F17" s="23" t="inlineStr">
        <is>
          <t>Tharun</t>
        </is>
      </c>
      <c r="G17" s="20" t="inlineStr">
        <is>
          <t>Completed</t>
        </is>
      </c>
      <c r="H17" s="31" t="inlineStr">
        <is>
          <t>2026-05-06</t>
        </is>
      </c>
      <c r="I17" s="23" t="inlineStr">
        <is>
          <t>Patient list layout complete</t>
        </is>
      </c>
    </row>
    <row r="18" ht="20" customHeight="1">
      <c r="B18" s="18" t="inlineStr">
        <is>
          <t>T-015</t>
        </is>
      </c>
      <c r="C18" s="19" t="inlineStr">
        <is>
          <t>Doctor Dashboard</t>
        </is>
      </c>
      <c r="D18" s="18" t="inlineStr">
        <is>
          <t>Pending Requests Mailbox</t>
        </is>
      </c>
      <c r="E18" s="18" t="inlineStr">
        <is>
          <t>Pavan Vignesh</t>
        </is>
      </c>
      <c r="F18" s="18" t="inlineStr">
        <is>
          <t>Tharun</t>
        </is>
      </c>
      <c r="G18" s="20" t="inlineStr">
        <is>
          <t>Completed</t>
        </is>
      </c>
      <c r="H18" s="12" t="inlineStr">
        <is>
          <t>2026-05-07</t>
        </is>
      </c>
      <c r="I18" s="18" t="inlineStr">
        <is>
          <t>Approval controls</t>
        </is>
      </c>
    </row>
    <row r="19" ht="20" customHeight="1">
      <c r="B19" s="23" t="inlineStr">
        <is>
          <t>T-016</t>
        </is>
      </c>
      <c r="C19" s="24" t="inlineStr">
        <is>
          <t>Doctor Dashboard</t>
        </is>
      </c>
      <c r="D19" s="23" t="inlineStr">
        <is>
          <t>Diagnostic Notes</t>
        </is>
      </c>
      <c r="E19" s="23" t="inlineStr">
        <is>
          <t>Tharun</t>
        </is>
      </c>
      <c r="F19" s="23" t="inlineStr">
        <is>
          <t>Abhiram</t>
        </is>
      </c>
      <c r="G19" s="20" t="inlineStr">
        <is>
          <t>Completed</t>
        </is>
      </c>
      <c r="H19" s="31" t="inlineStr">
        <is>
          <t>2026-05-09</t>
        </is>
      </c>
      <c r="I19" s="23" t="inlineStr">
        <is>
          <t>Notes storage controller</t>
        </is>
      </c>
    </row>
    <row r="20" ht="20" customHeight="1">
      <c r="B20" s="18" t="inlineStr">
        <is>
          <t>T-017</t>
        </is>
      </c>
      <c r="C20" s="19" t="inlineStr">
        <is>
          <t>Doctor Dashboard</t>
        </is>
      </c>
      <c r="D20" s="18" t="inlineStr">
        <is>
          <t>Recharts Growth Curves</t>
        </is>
      </c>
      <c r="E20" s="18" t="inlineStr">
        <is>
          <t>Pavan Vignesh</t>
        </is>
      </c>
      <c r="F20" s="18" t="inlineStr">
        <is>
          <t>Pavan Krishna</t>
        </is>
      </c>
      <c r="G20" s="20" t="inlineStr">
        <is>
          <t>Completed</t>
        </is>
      </c>
      <c r="H20" s="12" t="inlineStr">
        <is>
          <t>2026-05-11</t>
        </is>
      </c>
      <c r="I20" s="18" t="inlineStr">
        <is>
          <t>BMI data plotting</t>
        </is>
      </c>
    </row>
    <row r="21" ht="20" customHeight="1">
      <c r="B21" s="23" t="inlineStr">
        <is>
          <t>T-018</t>
        </is>
      </c>
      <c r="C21" s="24" t="inlineStr">
        <is>
          <t>Child Profile Management</t>
        </is>
      </c>
      <c r="D21" s="23" t="inlineStr">
        <is>
          <t>Create Profile Form</t>
        </is>
      </c>
      <c r="E21" s="23" t="inlineStr">
        <is>
          <t>Pavan Vignesh</t>
        </is>
      </c>
      <c r="F21" s="23" t="inlineStr">
        <is>
          <t>Tharun</t>
        </is>
      </c>
      <c r="G21" s="20" t="inlineStr">
        <is>
          <t>Completed</t>
        </is>
      </c>
      <c r="H21" s="31" t="inlineStr">
        <is>
          <t>2026-05-13</t>
        </is>
      </c>
      <c r="I21" s="23" t="inlineStr">
        <is>
          <t>React state hooks configured</t>
        </is>
      </c>
    </row>
    <row r="22" ht="20" customHeight="1">
      <c r="B22" s="18" t="inlineStr">
        <is>
          <t>T-019</t>
        </is>
      </c>
      <c r="C22" s="19" t="inlineStr">
        <is>
          <t>Child Profile Management</t>
        </is>
      </c>
      <c r="D22" s="18" t="inlineStr">
        <is>
          <t>Demographics</t>
        </is>
      </c>
      <c r="E22" s="18" t="inlineStr">
        <is>
          <t>Tharun</t>
        </is>
      </c>
      <c r="F22" s="18" t="inlineStr">
        <is>
          <t>Pavan Krishna</t>
        </is>
      </c>
      <c r="G22" s="20" t="inlineStr">
        <is>
          <t>Completed</t>
        </is>
      </c>
      <c r="H22" s="12" t="inlineStr">
        <is>
          <t>2026-05-14</t>
        </is>
      </c>
      <c r="I22" s="18" t="inlineStr">
        <is>
          <t>Mongoose schema defined</t>
        </is>
      </c>
    </row>
    <row r="23" ht="20" customHeight="1">
      <c r="B23" s="23" t="inlineStr">
        <is>
          <t>T-020</t>
        </is>
      </c>
      <c r="C23" s="24" t="inlineStr">
        <is>
          <t>Child Profile Management</t>
        </is>
      </c>
      <c r="D23" s="23" t="inlineStr">
        <is>
          <t>Animal Avatar Selector</t>
        </is>
      </c>
      <c r="E23" s="23" t="inlineStr">
        <is>
          <t>Pavan Vignesh</t>
        </is>
      </c>
      <c r="F23" s="23" t="inlineStr">
        <is>
          <t>Tharun</t>
        </is>
      </c>
      <c r="G23" s="20" t="inlineStr">
        <is>
          <t>Completed</t>
        </is>
      </c>
      <c r="H23" s="31" t="inlineStr">
        <is>
          <t>2026-05-16</t>
        </is>
      </c>
      <c r="I23" s="23" t="inlineStr">
        <is>
          <t>Vibrant graphics selection</t>
        </is>
      </c>
    </row>
    <row r="24" ht="20" customHeight="1">
      <c r="B24" s="18" t="inlineStr">
        <is>
          <t>T-021</t>
        </is>
      </c>
      <c r="C24" s="19" t="inlineStr">
        <is>
          <t>Child Profile Management</t>
        </is>
      </c>
      <c r="D24" s="18" t="inlineStr">
        <is>
          <t>Health Conditions List</t>
        </is>
      </c>
      <c r="E24" s="18" t="inlineStr">
        <is>
          <t>Tharun</t>
        </is>
      </c>
      <c r="F24" s="18" t="inlineStr">
        <is>
          <t>Pavan Krishna</t>
        </is>
      </c>
      <c r="G24" s="20" t="inlineStr">
        <is>
          <t>Completed</t>
        </is>
      </c>
      <c r="H24" s="12" t="inlineStr">
        <is>
          <t>2026-05-17</t>
        </is>
      </c>
      <c r="I24" s="18" t="inlineStr">
        <is>
          <t>Allergy text array</t>
        </is>
      </c>
    </row>
    <row r="25" ht="20" customHeight="1">
      <c r="B25" s="23" t="inlineStr">
        <is>
          <t>T-022</t>
        </is>
      </c>
      <c r="C25" s="24" t="inlineStr">
        <is>
          <t>Meal Logging</t>
        </is>
      </c>
      <c r="D25" s="23" t="inlineStr">
        <is>
          <t>Daily Slots</t>
        </is>
      </c>
      <c r="E25" s="23" t="inlineStr">
        <is>
          <t>Pavan Krishna</t>
        </is>
      </c>
      <c r="F25" s="23" t="inlineStr">
        <is>
          <t>Abhiram</t>
        </is>
      </c>
      <c r="G25" s="20" t="inlineStr">
        <is>
          <t>Completed</t>
        </is>
      </c>
      <c r="H25" s="31" t="inlineStr">
        <is>
          <t>2026-05-19</t>
        </is>
      </c>
      <c r="I25" s="23" t="inlineStr">
        <is>
          <t>6 distinct slot containers</t>
        </is>
      </c>
    </row>
    <row r="26" ht="20" customHeight="1">
      <c r="B26" s="18" t="inlineStr">
        <is>
          <t>T-023</t>
        </is>
      </c>
      <c r="C26" s="19" t="inlineStr">
        <is>
          <t>Meal Logging</t>
        </is>
      </c>
      <c r="D26" s="18" t="inlineStr">
        <is>
          <t>Portion Sliders</t>
        </is>
      </c>
      <c r="E26" s="18" t="inlineStr">
        <is>
          <t>Pavan Vignesh</t>
        </is>
      </c>
      <c r="F26" s="18" t="inlineStr">
        <is>
          <t>Pavan Krishna</t>
        </is>
      </c>
      <c r="G26" s="20" t="inlineStr">
        <is>
          <t>Completed</t>
        </is>
      </c>
      <c r="H26" s="12" t="inlineStr">
        <is>
          <t>2026-05-20</t>
        </is>
      </c>
      <c r="I26" s="18" t="inlineStr">
        <is>
          <t>Vite UI sliders</t>
        </is>
      </c>
    </row>
    <row r="27" ht="20" customHeight="1">
      <c r="B27" s="23" t="inlineStr">
        <is>
          <t>T-024</t>
        </is>
      </c>
      <c r="C27" s="24" t="inlineStr">
        <is>
          <t>Meal Logging</t>
        </is>
      </c>
      <c r="D27" s="23" t="inlineStr">
        <is>
          <t>Photo Upload API</t>
        </is>
      </c>
      <c r="E27" s="23" t="inlineStr">
        <is>
          <t>Tharun</t>
        </is>
      </c>
      <c r="F27" s="23" t="inlineStr">
        <is>
          <t>Abhiram</t>
        </is>
      </c>
      <c r="G27" s="20" t="inlineStr">
        <is>
          <t>Completed</t>
        </is>
      </c>
      <c r="H27" s="31" t="inlineStr">
        <is>
          <t>2026-05-22</t>
        </is>
      </c>
      <c r="I27" s="23" t="inlineStr">
        <is>
          <t>Multer file storage routes</t>
        </is>
      </c>
    </row>
    <row r="28" ht="20" customHeight="1">
      <c r="B28" s="18" t="inlineStr">
        <is>
          <t>T-025</t>
        </is>
      </c>
      <c r="C28" s="19" t="inlineStr">
        <is>
          <t>Meal Logging</t>
        </is>
      </c>
      <c r="D28" s="18" t="inlineStr">
        <is>
          <t>Delete Food Item</t>
        </is>
      </c>
      <c r="E28" s="18" t="inlineStr">
        <is>
          <t>Pavan Krishna</t>
        </is>
      </c>
      <c r="F28" s="18" t="inlineStr">
        <is>
          <t>Tharun</t>
        </is>
      </c>
      <c r="G28" s="20" t="inlineStr">
        <is>
          <t>Completed</t>
        </is>
      </c>
      <c r="H28" s="12" t="inlineStr">
        <is>
          <t>2026-05-23</t>
        </is>
      </c>
      <c r="I28" s="18" t="inlineStr">
        <is>
          <t>Route delete handlers tested</t>
        </is>
      </c>
    </row>
    <row r="29" ht="20" customHeight="1">
      <c r="B29" s="23" t="inlineStr">
        <is>
          <t>T-026</t>
        </is>
      </c>
      <c r="C29" s="24" t="inlineStr">
        <is>
          <t>Nutrition Analysis</t>
        </is>
      </c>
      <c r="D29" s="23" t="inlineStr">
        <is>
          <t>RDA Target Calculation</t>
        </is>
      </c>
      <c r="E29" s="23" t="inlineStr">
        <is>
          <t>Pavan Krishna</t>
        </is>
      </c>
      <c r="F29" s="23" t="inlineStr">
        <is>
          <t>Abhiram</t>
        </is>
      </c>
      <c r="G29" s="20" t="inlineStr">
        <is>
          <t>Completed</t>
        </is>
      </c>
      <c r="H29" s="31" t="inlineStr">
        <is>
          <t>2026-05-25</t>
        </is>
      </c>
      <c r="I29" s="23" t="inlineStr">
        <is>
          <t>WHO reference lookup tables</t>
        </is>
      </c>
    </row>
    <row r="30" ht="20" customHeight="1">
      <c r="B30" s="18" t="inlineStr">
        <is>
          <t>T-027</t>
        </is>
      </c>
      <c r="C30" s="19" t="inlineStr">
        <is>
          <t>Nutrition Analysis</t>
        </is>
      </c>
      <c r="D30" s="18" t="inlineStr">
        <is>
          <t>Gap Detection Algorithm</t>
        </is>
      </c>
      <c r="E30" s="18" t="inlineStr">
        <is>
          <t>Pavan Krishna</t>
        </is>
      </c>
      <c r="F30" s="18" t="inlineStr">
        <is>
          <t>Dinesh Veera</t>
        </is>
      </c>
      <c r="G30" s="20" t="inlineStr">
        <is>
          <t>Completed</t>
        </is>
      </c>
      <c r="H30" s="12" t="inlineStr">
        <is>
          <t>2026-05-26</t>
        </is>
      </c>
      <c r="I30" s="18" t="inlineStr">
        <is>
          <t>Nutrient deficiency checkers</t>
        </is>
      </c>
    </row>
    <row r="31" ht="20" customHeight="1">
      <c r="B31" s="23" t="inlineStr">
        <is>
          <t>T-028</t>
        </is>
      </c>
      <c r="C31" s="24" t="inlineStr">
        <is>
          <t>Nutrition Analysis</t>
        </is>
      </c>
      <c r="D31" s="23" t="inlineStr">
        <is>
          <t>Dynamic Food Recommendations</t>
        </is>
      </c>
      <c r="E31" s="23" t="inlineStr">
        <is>
          <t>Abhiram</t>
        </is>
      </c>
      <c r="F31" s="23" t="inlineStr">
        <is>
          <t>Dinesh Veera</t>
        </is>
      </c>
      <c r="G31" s="20" t="inlineStr">
        <is>
          <t>Completed</t>
        </is>
      </c>
      <c r="H31" s="31" t="inlineStr">
        <is>
          <t>2026-05-28</t>
        </is>
      </c>
      <c r="I31" s="23" t="inlineStr">
        <is>
          <t>Recommender system rules</t>
        </is>
      </c>
    </row>
    <row r="32" ht="20" customHeight="1">
      <c r="B32" s="18" t="inlineStr">
        <is>
          <t>T-029</t>
        </is>
      </c>
      <c r="C32" s="19" t="inlineStr">
        <is>
          <t>AI Nutrition Assistant</t>
        </is>
      </c>
      <c r="D32" s="18" t="inlineStr">
        <is>
          <t>Parent Chat Interface</t>
        </is>
      </c>
      <c r="E32" s="18" t="inlineStr">
        <is>
          <t>Pavan Vignesh</t>
        </is>
      </c>
      <c r="F32" s="18" t="inlineStr">
        <is>
          <t>Abhiram</t>
        </is>
      </c>
      <c r="G32" s="20" t="inlineStr">
        <is>
          <t>Completed</t>
        </is>
      </c>
      <c r="H32" s="12" t="inlineStr">
        <is>
          <t>2026-05-30</t>
        </is>
      </c>
      <c r="I32" s="18" t="inlineStr">
        <is>
          <t>Streaming text container</t>
        </is>
      </c>
    </row>
    <row r="33" ht="20" customHeight="1">
      <c r="B33" s="23" t="inlineStr">
        <is>
          <t>T-030</t>
        </is>
      </c>
      <c r="C33" s="24" t="inlineStr">
        <is>
          <t>AI Nutrition Assistant</t>
        </is>
      </c>
      <c r="D33" s="23" t="inlineStr">
        <is>
          <t>Clinical View Toggle</t>
        </is>
      </c>
      <c r="E33" s="23" t="inlineStr">
        <is>
          <t>Pavan Vignesh</t>
        </is>
      </c>
      <c r="F33" s="23" t="inlineStr">
        <is>
          <t>Abhiram</t>
        </is>
      </c>
      <c r="G33" s="20" t="inlineStr">
        <is>
          <t>Completed</t>
        </is>
      </c>
      <c r="H33" s="31" t="inlineStr">
        <is>
          <t>2026-06-01</t>
        </is>
      </c>
      <c r="I33" s="23" t="inlineStr">
        <is>
          <t>Text splitting details</t>
        </is>
      </c>
    </row>
    <row r="34" ht="20" customHeight="1">
      <c r="B34" s="18" t="inlineStr">
        <is>
          <t>T-031</t>
        </is>
      </c>
      <c r="C34" s="19" t="inlineStr">
        <is>
          <t>AI Nutrition Assistant</t>
        </is>
      </c>
      <c r="D34" s="18" t="inlineStr">
        <is>
          <t>Dynamic Query Citations</t>
        </is>
      </c>
      <c r="E34" s="18" t="inlineStr">
        <is>
          <t>Abhiram</t>
        </is>
      </c>
      <c r="F34" s="18" t="inlineStr">
        <is>
          <t>Dinesh Veera</t>
        </is>
      </c>
      <c r="G34" s="20" t="inlineStr">
        <is>
          <t>Completed</t>
        </is>
      </c>
      <c r="H34" s="12" t="inlineStr">
        <is>
          <t>2026-06-02</t>
        </is>
      </c>
      <c r="I34" s="18" t="inlineStr">
        <is>
          <t>Citation source mapping</t>
        </is>
      </c>
    </row>
    <row r="35" ht="20" customHeight="1">
      <c r="B35" s="23" t="inlineStr">
        <is>
          <t>T-032</t>
        </is>
      </c>
      <c r="C35" s="24" t="inlineStr">
        <is>
          <t>Food Buddy</t>
        </is>
      </c>
      <c r="D35" s="23" t="inlineStr">
        <is>
          <t>Avatar Custom Framing</t>
        </is>
      </c>
      <c r="E35" s="23" t="inlineStr">
        <is>
          <t>Pavan Vignesh</t>
        </is>
      </c>
      <c r="F35" s="23" t="inlineStr">
        <is>
          <t>Abhiram</t>
        </is>
      </c>
      <c r="G35" s="20" t="inlineStr">
        <is>
          <t>Completed</t>
        </is>
      </c>
      <c r="H35" s="31" t="inlineStr">
        <is>
          <t>2026-06-04</t>
        </is>
      </c>
      <c r="I35" s="23" t="inlineStr">
        <is>
          <t>Super-hero kids layout theme</t>
        </is>
      </c>
    </row>
    <row r="36" ht="20" customHeight="1">
      <c r="B36" s="18" t="inlineStr">
        <is>
          <t>T-033</t>
        </is>
      </c>
      <c r="C36" s="19" t="inlineStr">
        <is>
          <t>Food Buddy</t>
        </is>
      </c>
      <c r="D36" s="18" t="inlineStr">
        <is>
          <t>Fun Chat Story Prompt Rules</t>
        </is>
      </c>
      <c r="E36" s="18" t="inlineStr">
        <is>
          <t>Abhiram</t>
        </is>
      </c>
      <c r="F36" s="18" t="inlineStr">
        <is>
          <t>Dinesh Veera</t>
        </is>
      </c>
      <c r="G36" s="20" t="inlineStr">
        <is>
          <t>Completed</t>
        </is>
      </c>
      <c r="H36" s="12" t="inlineStr">
        <is>
          <t>2026-06-05</t>
        </is>
      </c>
      <c r="I36" s="18" t="inlineStr">
        <is>
          <t>Interactive kids character logic</t>
        </is>
      </c>
    </row>
    <row r="37" ht="20" customHeight="1">
      <c r="B37" s="23" t="inlineStr">
        <is>
          <t>T-034</t>
        </is>
      </c>
      <c r="C37" s="24" t="inlineStr">
        <is>
          <t>Food Buddy</t>
        </is>
      </c>
      <c r="D37" s="23" t="inlineStr">
        <is>
          <t>XP Tracker</t>
        </is>
      </c>
      <c r="E37" s="23" t="inlineStr">
        <is>
          <t>Pavan Krishna</t>
        </is>
      </c>
      <c r="F37" s="23" t="inlineStr">
        <is>
          <t>Tharun</t>
        </is>
      </c>
      <c r="G37" s="20" t="inlineStr">
        <is>
          <t>Completed</t>
        </is>
      </c>
      <c r="H37" s="31" t="inlineStr">
        <is>
          <t>2026-06-07</t>
        </is>
      </c>
      <c r="I37" s="23" t="inlineStr">
        <is>
          <t>Completed logs reward triggers</t>
        </is>
      </c>
    </row>
    <row r="38" ht="20" customHeight="1">
      <c r="B38" s="18" t="inlineStr">
        <is>
          <t>T-035</t>
        </is>
      </c>
      <c r="C38" s="19" t="inlineStr">
        <is>
          <t>Food Buddy</t>
        </is>
      </c>
      <c r="D38" s="18" t="inlineStr">
        <is>
          <t>Unlocked Badges Drawer</t>
        </is>
      </c>
      <c r="E38" s="18" t="inlineStr">
        <is>
          <t>Pavan Vignesh</t>
        </is>
      </c>
      <c r="F38" s="18" t="inlineStr">
        <is>
          <t>Tharun</t>
        </is>
      </c>
      <c r="G38" s="20" t="inlineStr">
        <is>
          <t>Completed</t>
        </is>
      </c>
      <c r="H38" s="12" t="inlineStr">
        <is>
          <t>2026-06-08</t>
        </is>
      </c>
      <c r="I38" s="18" t="inlineStr">
        <is>
          <t>Badge grid animations</t>
        </is>
      </c>
    </row>
    <row r="39" ht="20" customHeight="1">
      <c r="B39" s="23" t="inlineStr">
        <is>
          <t>T-036</t>
        </is>
      </c>
      <c r="C39" s="24" t="inlineStr">
        <is>
          <t>Doctor Access System</t>
        </is>
      </c>
      <c r="D39" s="23" t="inlineStr">
        <is>
          <t>Doctor Access Request Link</t>
        </is>
      </c>
      <c r="E39" s="23" t="inlineStr">
        <is>
          <t>Tharun</t>
        </is>
      </c>
      <c r="F39" s="23" t="inlineStr">
        <is>
          <t>Abhiram</t>
        </is>
      </c>
      <c r="G39" s="20" t="inlineStr">
        <is>
          <t>Completed</t>
        </is>
      </c>
      <c r="H39" s="31" t="inlineStr">
        <is>
          <t>2026-06-10</t>
        </is>
      </c>
      <c r="I39" s="23" t="inlineStr">
        <is>
          <t>Email access invitation system</t>
        </is>
      </c>
    </row>
    <row r="40" ht="20" customHeight="1">
      <c r="B40" s="18" t="inlineStr">
        <is>
          <t>T-037</t>
        </is>
      </c>
      <c r="C40" s="19" t="inlineStr">
        <is>
          <t>Doctor Access System</t>
        </is>
      </c>
      <c r="D40" s="18" t="inlineStr">
        <is>
          <t>Parent Access List</t>
        </is>
      </c>
      <c r="E40" s="18" t="inlineStr">
        <is>
          <t>Tharun</t>
        </is>
      </c>
      <c r="F40" s="18" t="inlineStr">
        <is>
          <t>Abhiram</t>
        </is>
      </c>
      <c r="G40" s="20" t="inlineStr">
        <is>
          <t>Completed</t>
        </is>
      </c>
      <c r="H40" s="12" t="inlineStr">
        <is>
          <t>2026-06-11</t>
        </is>
      </c>
      <c r="I40" s="18" t="inlineStr">
        <is>
          <t>Access listing controllers</t>
        </is>
      </c>
    </row>
    <row r="41" ht="20" customHeight="1">
      <c r="B41" s="23" t="inlineStr">
        <is>
          <t>T-038</t>
        </is>
      </c>
      <c r="C41" s="24" t="inlineStr">
        <is>
          <t>Doctor Access System</t>
        </is>
      </c>
      <c r="D41" s="23" t="inlineStr">
        <is>
          <t>Restricted/Full View Approval Logic</t>
        </is>
      </c>
      <c r="E41" s="23" t="inlineStr">
        <is>
          <t>Tharun</t>
        </is>
      </c>
      <c r="F41" s="23" t="inlineStr">
        <is>
          <t>Abhiram</t>
        </is>
      </c>
      <c r="G41" s="20" t="inlineStr">
        <is>
          <t>Completed</t>
        </is>
      </c>
      <c r="H41" s="31" t="inlineStr">
        <is>
          <t>2026-06-12</t>
        </is>
      </c>
      <c r="I41" s="23" t="inlineStr">
        <is>
          <t>Permissions checks middleware</t>
        </is>
      </c>
    </row>
    <row r="42" ht="20" customHeight="1">
      <c r="B42" s="18" t="inlineStr">
        <is>
          <t>T-039</t>
        </is>
      </c>
      <c r="C42" s="19" t="inlineStr">
        <is>
          <t>Doctor Access System</t>
        </is>
      </c>
      <c r="D42" s="18" t="inlineStr">
        <is>
          <t>Revoke Access</t>
        </is>
      </c>
      <c r="E42" s="18" t="inlineStr">
        <is>
          <t>Tharun</t>
        </is>
      </c>
      <c r="F42" s="18" t="inlineStr">
        <is>
          <t>Abhiram</t>
        </is>
      </c>
      <c r="G42" s="20" t="inlineStr">
        <is>
          <t>Completed</t>
        </is>
      </c>
      <c r="H42" s="12" t="inlineStr">
        <is>
          <t>2026-06-13</t>
        </is>
      </c>
      <c r="I42" s="18" t="inlineStr">
        <is>
          <t>Delete access mapping records</t>
        </is>
      </c>
    </row>
    <row r="43" ht="20" customHeight="1">
      <c r="B43" s="23" t="inlineStr">
        <is>
          <t>T-040</t>
        </is>
      </c>
      <c r="C43" s="24" t="inlineStr">
        <is>
          <t>Growth Tracking</t>
        </is>
      </c>
      <c r="D43" s="23" t="inlineStr">
        <is>
          <t>Height/Weight Logs</t>
        </is>
      </c>
      <c r="E43" s="23" t="inlineStr">
        <is>
          <t>Pavan Krishna</t>
        </is>
      </c>
      <c r="F43" s="23" t="inlineStr">
        <is>
          <t>Tharun</t>
        </is>
      </c>
      <c r="G43" s="20" t="inlineStr">
        <is>
          <t>Completed</t>
        </is>
      </c>
      <c r="H43" s="31" t="inlineStr">
        <is>
          <t>2026-06-14</t>
        </is>
      </c>
      <c r="I43" s="23" t="inlineStr">
        <is>
          <t>Height-weight form fields</t>
        </is>
      </c>
    </row>
    <row r="44" ht="20" customHeight="1">
      <c r="B44" s="18" t="inlineStr">
        <is>
          <t>T-041</t>
        </is>
      </c>
      <c r="C44" s="19" t="inlineStr">
        <is>
          <t>Growth Tracking</t>
        </is>
      </c>
      <c r="D44" s="18" t="inlineStr">
        <is>
          <t>BMI Category Status</t>
        </is>
      </c>
      <c r="E44" s="18" t="inlineStr">
        <is>
          <t>Pavan Krishna</t>
        </is>
      </c>
      <c r="F44" s="18" t="inlineStr">
        <is>
          <t>Tharun</t>
        </is>
      </c>
      <c r="G44" s="20" t="inlineStr">
        <is>
          <t>Completed</t>
        </is>
      </c>
      <c r="H44" s="12" t="inlineStr">
        <is>
          <t>2026-06-15</t>
        </is>
      </c>
      <c r="I44" s="18" t="inlineStr">
        <is>
          <t>Calculates WHO risk statuses</t>
        </is>
      </c>
    </row>
    <row r="45" ht="20" customHeight="1">
      <c r="B45" s="23" t="inlineStr">
        <is>
          <t>T-042</t>
        </is>
      </c>
      <c r="C45" s="24" t="inlineStr">
        <is>
          <t>Growth Tracking</t>
        </is>
      </c>
      <c r="D45" s="23" t="inlineStr">
        <is>
          <t>Longitudinal Growth Database Storage</t>
        </is>
      </c>
      <c r="E45" s="23" t="inlineStr">
        <is>
          <t>Tharun</t>
        </is>
      </c>
      <c r="F45" s="23" t="inlineStr">
        <is>
          <t>Pavan Krishna</t>
        </is>
      </c>
      <c r="G45" s="20" t="inlineStr">
        <is>
          <t>Completed</t>
        </is>
      </c>
      <c r="H45" s="31" t="inlineStr">
        <is>
          <t>2026-06-16</t>
        </is>
      </c>
      <c r="I45" s="23" t="inlineStr">
        <is>
          <t>GrowthRecord schemas indices</t>
        </is>
      </c>
    </row>
    <row r="46" ht="20" customHeight="1">
      <c r="B46" s="18" t="inlineStr">
        <is>
          <t>T-043</t>
        </is>
      </c>
      <c r="C46" s="19" t="inlineStr">
        <is>
          <t>RAG Pipeline</t>
        </is>
      </c>
      <c r="D46" s="18" t="inlineStr">
        <is>
          <t>BM25 Keyword Matching</t>
        </is>
      </c>
      <c r="E46" s="18" t="inlineStr">
        <is>
          <t>Dinesh Veera</t>
        </is>
      </c>
      <c r="F46" s="18" t="inlineStr">
        <is>
          <t>Abhiram</t>
        </is>
      </c>
      <c r="G46" s="20" t="inlineStr">
        <is>
          <t>Completed</t>
        </is>
      </c>
      <c r="H46" s="12" t="inlineStr">
        <is>
          <t>2026-05-15</t>
        </is>
      </c>
      <c r="I46" s="18" t="inlineStr">
        <is>
          <t>Okapi BM25 indices created</t>
        </is>
      </c>
    </row>
    <row r="47" ht="20" customHeight="1">
      <c r="B47" s="23" t="inlineStr">
        <is>
          <t>T-044</t>
        </is>
      </c>
      <c r="C47" s="24" t="inlineStr">
        <is>
          <t>RAG Pipeline</t>
        </is>
      </c>
      <c r="D47" s="23" t="inlineStr">
        <is>
          <t>FAISS Dense Search Vector Indexing</t>
        </is>
      </c>
      <c r="E47" s="23" t="inlineStr">
        <is>
          <t>Dinesh Veera</t>
        </is>
      </c>
      <c r="F47" s="23" t="inlineStr">
        <is>
          <t>Abhiram</t>
        </is>
      </c>
      <c r="G47" s="20" t="inlineStr">
        <is>
          <t>Completed</t>
        </is>
      </c>
      <c r="H47" s="31" t="inlineStr">
        <is>
          <t>2026-05-16</t>
        </is>
      </c>
      <c r="I47" s="23" t="inlineStr">
        <is>
          <t>SentenceTransformers indexing</t>
        </is>
      </c>
    </row>
    <row r="48" ht="20" customHeight="1">
      <c r="B48" s="18" t="inlineStr">
        <is>
          <t>T-045</t>
        </is>
      </c>
      <c r="C48" s="19" t="inlineStr">
        <is>
          <t>RAG Pipeline</t>
        </is>
      </c>
      <c r="D48" s="18" t="inlineStr">
        <is>
          <t>Cross-Encoder Reranker</t>
        </is>
      </c>
      <c r="E48" s="18" t="inlineStr">
        <is>
          <t>Dinesh Veera</t>
        </is>
      </c>
      <c r="F48" s="18" t="inlineStr">
        <is>
          <t>Abhiram</t>
        </is>
      </c>
      <c r="G48" s="20" t="inlineStr">
        <is>
          <t>Completed</t>
        </is>
      </c>
      <c r="H48" s="12" t="inlineStr">
        <is>
          <t>2026-05-18</t>
        </is>
      </c>
      <c r="I48" s="18" t="inlineStr">
        <is>
          <t>ms-marco-MiniLM model scoring</t>
        </is>
      </c>
    </row>
    <row r="49" ht="20" customHeight="1">
      <c r="B49" s="23" t="inlineStr">
        <is>
          <t>T-046</t>
        </is>
      </c>
      <c r="C49" s="24" t="inlineStr">
        <is>
          <t>RAG Pipeline</t>
        </is>
      </c>
      <c r="D49" s="23" t="inlineStr">
        <is>
          <t>Textbook Ingestion</t>
        </is>
      </c>
      <c r="E49" s="23" t="inlineStr">
        <is>
          <t>Dinesh Veera</t>
        </is>
      </c>
      <c r="F49" s="23" t="inlineStr">
        <is>
          <t>Abhiram</t>
        </is>
      </c>
      <c r="G49" s="20" t="inlineStr">
        <is>
          <t>Completed</t>
        </is>
      </c>
      <c r="H49" s="31" t="inlineStr">
        <is>
          <t>2026-05-20</t>
        </is>
      </c>
      <c r="I49" s="23" t="inlineStr">
        <is>
          <t>Parsed PDF pages into clean text</t>
        </is>
      </c>
    </row>
    <row r="50" ht="20" customHeight="1">
      <c r="B50" s="18" t="inlineStr">
        <is>
          <t>T-047</t>
        </is>
      </c>
      <c r="C50" s="19" t="inlineStr">
        <is>
          <t>Privacy Mode</t>
        </is>
      </c>
      <c r="D50" s="18" t="inlineStr">
        <is>
          <t>Offline Toggle</t>
        </is>
      </c>
      <c r="E50" s="18" t="inlineStr">
        <is>
          <t>Pavan Vignesh</t>
        </is>
      </c>
      <c r="F50" s="18" t="inlineStr">
        <is>
          <t>Tharun</t>
        </is>
      </c>
      <c r="G50" s="20" t="inlineStr">
        <is>
          <t>Completed</t>
        </is>
      </c>
      <c r="H50" s="12" t="inlineStr">
        <is>
          <t>2026-06-10</t>
        </is>
      </c>
      <c r="I50" s="18" t="inlineStr">
        <is>
          <t>Dashboard layout toggle button</t>
        </is>
      </c>
    </row>
    <row r="51" ht="20" customHeight="1">
      <c r="B51" s="23" t="inlineStr">
        <is>
          <t>T-048</t>
        </is>
      </c>
      <c r="C51" s="24" t="inlineStr">
        <is>
          <t>Privacy Mode</t>
        </is>
      </c>
      <c r="D51" s="23" t="inlineStr">
        <is>
          <t>Local Ollama Router</t>
        </is>
      </c>
      <c r="E51" s="23" t="inlineStr">
        <is>
          <t>Abhiram</t>
        </is>
      </c>
      <c r="F51" s="23" t="inlineStr">
        <is>
          <t>Dinesh Veera</t>
        </is>
      </c>
      <c r="G51" s="20" t="inlineStr">
        <is>
          <t>Completed</t>
        </is>
      </c>
      <c r="H51" s="31" t="inlineStr">
        <is>
          <t>2026-06-11</t>
        </is>
      </c>
      <c r="I51" s="23" t="inlineStr">
        <is>
          <t>Verifies local tags ping endpoint</t>
        </is>
      </c>
    </row>
    <row r="52" ht="20" customHeight="1">
      <c r="B52" s="18" t="inlineStr">
        <is>
          <t>T-049</t>
        </is>
      </c>
      <c r="C52" s="19" t="inlineStr">
        <is>
          <t>Privacy Mode</t>
        </is>
      </c>
      <c r="D52" s="18" t="inlineStr">
        <is>
          <t>Local Static Fallback Generator</t>
        </is>
      </c>
      <c r="E52" s="18" t="inlineStr">
        <is>
          <t>Abhiram</t>
        </is>
      </c>
      <c r="F52" s="18" t="inlineStr">
        <is>
          <t>Dinesh Veera</t>
        </is>
      </c>
      <c r="G52" s="32" t="inlineStr">
        <is>
          <t>In Progress</t>
        </is>
      </c>
      <c r="H52" s="12" t="inlineStr">
        <is>
          <t>2026-06-20</t>
        </is>
      </c>
      <c r="I52" s="18" t="inlineStr">
        <is>
          <t>Developing backup response template</t>
        </is>
      </c>
    </row>
    <row r="53" ht="20" customHeight="1">
      <c r="B53" s="23" t="inlineStr">
        <is>
          <t>T-050</t>
        </is>
      </c>
      <c r="C53" s="24" t="inlineStr">
        <is>
          <t>Deployment</t>
        </is>
      </c>
      <c r="D53" s="23" t="inlineStr">
        <is>
          <t>MongoDB Atlas Configuration</t>
        </is>
      </c>
      <c r="E53" s="23" t="inlineStr">
        <is>
          <t>Tharun</t>
        </is>
      </c>
      <c r="F53" s="23" t="inlineStr">
        <is>
          <t>Pavan Krishna</t>
        </is>
      </c>
      <c r="G53" s="20" t="inlineStr">
        <is>
          <t>Completed</t>
        </is>
      </c>
      <c r="H53" s="31" t="inlineStr">
        <is>
          <t>2026-06-14</t>
        </is>
      </c>
      <c r="I53" s="23" t="inlineStr">
        <is>
          <t>Cluster setup and security limits</t>
        </is>
      </c>
    </row>
    <row r="54" ht="20" customHeight="1">
      <c r="B54" s="18" t="inlineStr">
        <is>
          <t>T-051</t>
        </is>
      </c>
      <c r="C54" s="19" t="inlineStr">
        <is>
          <t>Deployment</t>
        </is>
      </c>
      <c r="D54" s="18" t="inlineStr">
        <is>
          <t>NextJS Production Container</t>
        </is>
      </c>
      <c r="E54" s="18" t="inlineStr">
        <is>
          <t>Tharun</t>
        </is>
      </c>
      <c r="F54" s="18" t="inlineStr">
        <is>
          <t>Pavan Krishna</t>
        </is>
      </c>
      <c r="G54" s="20" t="inlineStr">
        <is>
          <t>Completed</t>
        </is>
      </c>
      <c r="H54" s="12" t="inlineStr">
        <is>
          <t>2026-06-15</t>
        </is>
      </c>
      <c r="I54" s="18" t="inlineStr">
        <is>
          <t>Multi-stage build completed</t>
        </is>
      </c>
    </row>
    <row r="55" ht="20" customHeight="1">
      <c r="B55" s="23" t="inlineStr">
        <is>
          <t>T-052</t>
        </is>
      </c>
      <c r="C55" s="24" t="inlineStr">
        <is>
          <t>Deployment</t>
        </is>
      </c>
      <c r="D55" s="23" t="inlineStr">
        <is>
          <t>Prometheus Metrics Scraper</t>
        </is>
      </c>
      <c r="E55" s="23" t="inlineStr">
        <is>
          <t>Dinesh Veera</t>
        </is>
      </c>
      <c r="F55" s="23" t="inlineStr">
        <is>
          <t>Abhiram</t>
        </is>
      </c>
      <c r="G55" s="20" t="inlineStr">
        <is>
          <t>Completed</t>
        </is>
      </c>
      <c r="H55" s="31" t="inlineStr">
        <is>
          <t>2026-06-16</t>
        </is>
      </c>
      <c r="I55" s="23" t="inlineStr">
        <is>
          <t>Instruments AI service metrics</t>
        </is>
      </c>
    </row>
    <row r="56" ht="20" customHeight="1">
      <c r="B56" s="18" t="inlineStr">
        <is>
          <t>T-053</t>
        </is>
      </c>
      <c r="C56" s="19" t="inlineStr">
        <is>
          <t>Deployment</t>
        </is>
      </c>
      <c r="D56" s="18" t="inlineStr">
        <is>
          <t>Docker-Compose Orchestration</t>
        </is>
      </c>
      <c r="E56" s="18" t="inlineStr">
        <is>
          <t>Tharun</t>
        </is>
      </c>
      <c r="F56" s="18" t="inlineStr">
        <is>
          <t>Pavan Krishna</t>
        </is>
      </c>
      <c r="G56" s="32" t="inlineStr">
        <is>
          <t>In Progress</t>
        </is>
      </c>
      <c r="H56" s="12" t="inlineStr">
        <is>
          <t>2026-06-21</t>
        </is>
      </c>
      <c r="I56" s="18" t="inlineStr">
        <is>
          <t>Container bridge configuration</t>
        </is>
      </c>
    </row>
  </sheetData>
  <mergeCells count="1">
    <mergeCell ref="B2:I2"/>
  </mergeCells>
  <dataValidations count="1">
    <dataValidation sqref="G4:G100" showDropDown="0" showInputMessage="0" showErrorMessage="0" allowBlank="1" type="list">
      <formula1>"Open,In Progress,Review,Completed,Blocked"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H9"/>
  <sheetViews>
    <sheetView showGridLines="1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32" customWidth="1" min="3" max="3"/>
    <col width="16" customWidth="1" min="4" max="4"/>
    <col width="16" customWidth="1" min="5" max="5"/>
    <col width="16" customWidth="1" min="6" max="6"/>
    <col width="18" customWidth="1" min="7" max="7"/>
    <col width="50" customWidth="1" min="8" max="8"/>
  </cols>
  <sheetData>
    <row r="2" ht="35" customHeight="1">
      <c r="B2" s="16" t="inlineStr">
        <is>
          <t>NutriBite Team Contribution Tracker</t>
        </is>
      </c>
    </row>
    <row r="3" ht="25" customHeight="1">
      <c r="B3" s="17" t="inlineStr">
        <is>
          <t>Member</t>
        </is>
      </c>
      <c r="C3" s="17" t="inlineStr">
        <is>
          <t>Role</t>
        </is>
      </c>
      <c r="D3" s="17" t="inlineStr">
        <is>
          <t>Features Owned</t>
        </is>
      </c>
      <c r="E3" s="17" t="inlineStr">
        <is>
          <t>Tasks Assigned</t>
        </is>
      </c>
      <c r="F3" s="17" t="inlineStr">
        <is>
          <t>Tasks Completed</t>
        </is>
      </c>
      <c r="G3" s="17" t="inlineStr">
        <is>
          <t>Contribution %</t>
        </is>
      </c>
      <c r="H3" s="17" t="inlineStr">
        <is>
          <t>Comments</t>
        </is>
      </c>
    </row>
    <row r="4" ht="22" customHeight="1">
      <c r="B4" s="19" t="inlineStr">
        <is>
          <t>Abhiram</t>
        </is>
      </c>
      <c r="C4" s="18" t="inlineStr">
        <is>
          <t>AI Engineer &amp; Feature Lead</t>
        </is>
      </c>
      <c r="D4" s="12">
        <f>COUNTIF(Features!$E$4:$E$17, B4)</f>
        <v/>
      </c>
      <c r="E4" s="12">
        <f>COUNTIF(Tasks!$E$4:$E$100, B4)</f>
        <v/>
      </c>
      <c r="F4" s="12">
        <f>COUNTIFS(Tasks!$E$4:$E$100, B4, Tasks!$G$4:$G$100, "Completed")</f>
        <v/>
      </c>
      <c r="G4" s="22">
        <f>IF(SUM($F$4:$F$8)&gt;0, F4/SUM($F$4:$F$8), 0)</f>
        <v/>
      </c>
      <c r="H4" s="18" t="inlineStr">
        <is>
          <t>LLM Integration, Ollama Router, Story prompts</t>
        </is>
      </c>
    </row>
    <row r="5" ht="22" customHeight="1">
      <c r="B5" s="24" t="inlineStr">
        <is>
          <t>Tharun</t>
        </is>
      </c>
      <c r="C5" s="23" t="inlineStr">
        <is>
          <t>Backend &amp; Database Engineer</t>
        </is>
      </c>
      <c r="D5" s="31">
        <f>COUNTIF(Features!$E$4:$E$17, B5)</f>
        <v/>
      </c>
      <c r="E5" s="31">
        <f>COUNTIF(Tasks!$E$4:$E$100, B5)</f>
        <v/>
      </c>
      <c r="F5" s="31">
        <f>COUNTIFS(Tasks!$E$4:$E$100, B5, Tasks!$G$4:$G$100, "Completed")</f>
        <v/>
      </c>
      <c r="G5" s="26">
        <f>IF(SUM($F$4:$F$8)&gt;0, F5/SUM($F$4:$F$8), 0)</f>
        <v/>
      </c>
      <c r="H5" s="23" t="inlineStr">
        <is>
          <t>Auth backend, MongoDB database schemas, express server</t>
        </is>
      </c>
    </row>
    <row r="6" ht="22" customHeight="1">
      <c r="B6" s="19" t="inlineStr">
        <is>
          <t>Dinesh Veera</t>
        </is>
      </c>
      <c r="C6" s="18" t="inlineStr">
        <is>
          <t>RAG Engineer</t>
        </is>
      </c>
      <c r="D6" s="12">
        <f>COUNTIF(Features!$E$4:$E$17, B6)</f>
        <v/>
      </c>
      <c r="E6" s="12">
        <f>COUNTIF(Tasks!$E$4:$E$100, B6)</f>
        <v/>
      </c>
      <c r="F6" s="12">
        <f>COUNTIFS(Tasks!$E$4:$E$100, B6, Tasks!$G$4:$G$100, "Completed")</f>
        <v/>
      </c>
      <c r="G6" s="22">
        <f>IF(SUM($F$4:$F$8)&gt;0, F6/SUM($F$4:$F$8), 0)</f>
        <v/>
      </c>
      <c r="H6" s="18" t="inlineStr">
        <is>
          <t>FAISS indexes, BM25 retriever, Cross-Encoder reranker</t>
        </is>
      </c>
    </row>
    <row r="7" ht="22" customHeight="1">
      <c r="B7" s="24" t="inlineStr">
        <is>
          <t>Pavan Krishna</t>
        </is>
      </c>
      <c r="C7" s="23" t="inlineStr">
        <is>
          <t>Data Engineer &amp; Backend Developer</t>
        </is>
      </c>
      <c r="D7" s="31">
        <f>COUNTIF(Features!$E$4:$E$17, B7)</f>
        <v/>
      </c>
      <c r="E7" s="31">
        <f>COUNTIF(Tasks!$E$4:$E$100, B7)</f>
        <v/>
      </c>
      <c r="F7" s="31">
        <f>COUNTIFS(Tasks!$E$4:$E$100, B7, Tasks!$G$4:$G$100, "Completed")</f>
        <v/>
      </c>
      <c r="G7" s="26">
        <f>IF(SUM($F$4:$F$8)&gt;0, F7/SUM($F$4:$F$8), 0)</f>
        <v/>
      </c>
      <c r="H7" s="23" t="inlineStr">
        <is>
          <t>Indian foods dataset, sleep log logic, BMI calculations</t>
        </is>
      </c>
    </row>
    <row r="8" ht="22" customHeight="1">
      <c r="B8" s="19" t="inlineStr">
        <is>
          <t>Pavan Vignesh</t>
        </is>
      </c>
      <c r="C8" s="18" t="inlineStr">
        <is>
          <t>Frontend &amp; UI/UX Engineer</t>
        </is>
      </c>
      <c r="D8" s="12">
        <f>COUNTIF(Features!$E$4:$E$17, B8)</f>
        <v/>
      </c>
      <c r="E8" s="12">
        <f>COUNTIF(Tasks!$E$4:$E$100, B8)</f>
        <v/>
      </c>
      <c r="F8" s="12">
        <f>COUNTIFS(Tasks!$E$4:$E$100, B8, Tasks!$G$4:$G$100, "Completed")</f>
        <v/>
      </c>
      <c r="G8" s="22">
        <f>IF(SUM($F$4:$F$8)&gt;0, F8/SUM($F$4:$F$8), 0)</f>
        <v/>
      </c>
      <c r="H8" s="18" t="inlineStr">
        <is>
          <t>Web UI dashboards, Recharts velocity lines, animations</t>
        </is>
      </c>
    </row>
    <row r="9" ht="22" customHeight="1">
      <c r="B9" s="13" t="inlineStr">
        <is>
          <t>Total</t>
        </is>
      </c>
      <c r="C9" s="33" t="inlineStr"/>
      <c r="D9" s="14">
        <f>SUM(D4:D8)</f>
        <v/>
      </c>
      <c r="E9" s="14">
        <f>SUM(E4:E8)</f>
        <v/>
      </c>
      <c r="F9" s="14">
        <f>SUM(F4:F8)</f>
        <v/>
      </c>
      <c r="G9" s="34">
        <f>SUM(G4:G8)</f>
        <v/>
      </c>
      <c r="H9" s="33" t="inlineStr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2026-06-18T17:46:41Z</dcterms:created>
  <dcterms:modified xsi:type="dcterms:W3CDTF">2026-06-18T17:46:41Z</dcterms:modified>
</cp:coreProperties>
</file>